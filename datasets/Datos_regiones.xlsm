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bel\Desktop\"/>
    </mc:Choice>
  </mc:AlternateContent>
  <xr:revisionPtr revIDLastSave="0" documentId="13_ncr:1_{FE4F6793-89BF-4174-8F8E-34B0C17CFF34}" xr6:coauthVersionLast="47" xr6:coauthVersionMax="47" xr10:uidLastSave="{00000000-0000-0000-0000-000000000000}"/>
  <bookViews>
    <workbookView xWindow="-93" yWindow="-93" windowWidth="25786" windowHeight="13866" tabRatio="606" activeTab="1" xr2:uid="{00000000-000D-0000-FFFF-FFFF00000000}"/>
  </bookViews>
  <sheets>
    <sheet name="Datos" sheetId="28" r:id="rId1"/>
    <sheet name="Altitudes" sheetId="29" r:id="rId2"/>
  </sheets>
  <definedNames>
    <definedName name="\a">#N/A</definedName>
    <definedName name="\p">#REF!</definedName>
    <definedName name="\s">#REF!</definedName>
    <definedName name="_Parse_Out" hidden="1">#REF!</definedName>
    <definedName name="_xlnm.Print_Area" localSheetId="0">Datos!$A$1:$G$310</definedName>
    <definedName name="ExternalData_1" localSheetId="1">Altitudes!$A$1:$D$28</definedName>
    <definedName name="ExternalData_1" localSheetId="0">Datos!#REF!</definedName>
    <definedName name="Imprimir_área_IM">#REF!</definedName>
    <definedName name="TUTOR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9" l="1"/>
  <c r="E5" i="29"/>
  <c r="E6" i="29"/>
  <c r="E7" i="29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3" i="2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1" type="4" refreshedVersion="4" background="1" saveData="1">
    <webPr url="https://www.sport-histoire.fr/es/Geografia/Lista_departamentos_regiones_Peru.php" htmlTables="1" htmlFormat="all">
      <tables count="1">
        <x v="1"/>
      </tables>
    </webPr>
  </connection>
</connections>
</file>

<file path=xl/sharedStrings.xml><?xml version="1.0" encoding="utf-8"?>
<sst xmlns="http://schemas.openxmlformats.org/spreadsheetml/2006/main" count="679" uniqueCount="371">
  <si>
    <t>Altitud</t>
  </si>
  <si>
    <t>Santa María de Nieva</t>
  </si>
  <si>
    <t>Vilcas Huamán</t>
  </si>
  <si>
    <t>Total 1/</t>
  </si>
  <si>
    <t>cuadrados)</t>
  </si>
  <si>
    <t>cuadrado)</t>
  </si>
  <si>
    <t>Virú</t>
  </si>
  <si>
    <t>Chachapoyas</t>
  </si>
  <si>
    <t>Huaraz</t>
  </si>
  <si>
    <t>Abancay</t>
  </si>
  <si>
    <t>Cajamarca</t>
  </si>
  <si>
    <t>Cusco</t>
  </si>
  <si>
    <t>Huancavelica</t>
  </si>
  <si>
    <t>Huancayo</t>
  </si>
  <si>
    <t>Moyobamba</t>
  </si>
  <si>
    <t>Pucallpa</t>
  </si>
  <si>
    <t>Arequipa  3/</t>
  </si>
  <si>
    <t>Lambayeque  7/</t>
  </si>
  <si>
    <t>Moquegua  9/</t>
  </si>
  <si>
    <t>Piura  10/</t>
  </si>
  <si>
    <t>Puno  11/</t>
  </si>
  <si>
    <t>Nombre</t>
  </si>
  <si>
    <t>Apurímac</t>
  </si>
  <si>
    <t>Huánuco</t>
  </si>
  <si>
    <t>Cerro de Pasco</t>
  </si>
  <si>
    <t>Puerto Maldonado</t>
  </si>
  <si>
    <t>Trujillo</t>
  </si>
  <si>
    <t>Ascope</t>
  </si>
  <si>
    <t>Chiclayo</t>
  </si>
  <si>
    <t>Barranca</t>
  </si>
  <si>
    <t>Huaral</t>
  </si>
  <si>
    <t>Huacho</t>
  </si>
  <si>
    <t>Ilo</t>
  </si>
  <si>
    <t>Paita</t>
  </si>
  <si>
    <t>Sechura</t>
  </si>
  <si>
    <t>Zorritos</t>
  </si>
  <si>
    <t>Bagua</t>
  </si>
  <si>
    <t>Puerto Inca</t>
  </si>
  <si>
    <t>Iquitos</t>
  </si>
  <si>
    <t>Yurimaguas</t>
  </si>
  <si>
    <t>Nauta</t>
  </si>
  <si>
    <t>Requena</t>
  </si>
  <si>
    <t>Contamana</t>
  </si>
  <si>
    <t>Manu</t>
  </si>
  <si>
    <t>Iñapari</t>
  </si>
  <si>
    <t>Oxapampa</t>
  </si>
  <si>
    <t>Yunguyo</t>
  </si>
  <si>
    <t>Juli</t>
  </si>
  <si>
    <t>Ilave</t>
  </si>
  <si>
    <t>Caravelí</t>
  </si>
  <si>
    <t>Camaná</t>
  </si>
  <si>
    <t>San José de Sisa</t>
  </si>
  <si>
    <t>Aguaytía</t>
  </si>
  <si>
    <t>Huaytará</t>
  </si>
  <si>
    <t>Santa Cruz de Succhabamba</t>
  </si>
  <si>
    <t>Departamento</t>
  </si>
  <si>
    <t>Tacna</t>
  </si>
  <si>
    <t>Piura</t>
  </si>
  <si>
    <t>Talara</t>
  </si>
  <si>
    <t>Madre de Dios</t>
  </si>
  <si>
    <t xml:space="preserve">  Provincia</t>
  </si>
  <si>
    <t>Ayacucho</t>
  </si>
  <si>
    <t xml:space="preserve">Callao  4/  </t>
  </si>
  <si>
    <t>Ica  5/</t>
  </si>
  <si>
    <t>La  Libertad  6/</t>
  </si>
  <si>
    <t xml:space="preserve">Lima  8/  </t>
  </si>
  <si>
    <t xml:space="preserve">Loreto  </t>
  </si>
  <si>
    <t>Tacna  12/</t>
  </si>
  <si>
    <t>Tumbes  13/</t>
  </si>
  <si>
    <t>Jumbilla</t>
  </si>
  <si>
    <t>Lamud</t>
  </si>
  <si>
    <t>Mendoza</t>
  </si>
  <si>
    <t>Bagua Grande</t>
  </si>
  <si>
    <t>Aija</t>
  </si>
  <si>
    <t>Chacas</t>
  </si>
  <si>
    <t>Carhuaz</t>
  </si>
  <si>
    <t>San Luis</t>
  </si>
  <si>
    <t>Corongo</t>
  </si>
  <si>
    <t>Huari</t>
  </si>
  <si>
    <t>Caraz</t>
  </si>
  <si>
    <t>Piscobamba</t>
  </si>
  <si>
    <t>Ocros</t>
  </si>
  <si>
    <t>Cabana</t>
  </si>
  <si>
    <t>Pomabamba</t>
  </si>
  <si>
    <t>Recuay</t>
  </si>
  <si>
    <t>Sihuas</t>
  </si>
  <si>
    <t>Yungay</t>
  </si>
  <si>
    <t>Andahuaylas</t>
  </si>
  <si>
    <t>Antabamba</t>
  </si>
  <si>
    <t>Chalhuanca</t>
  </si>
  <si>
    <t>Tambobamba</t>
  </si>
  <si>
    <t>Chincheros</t>
  </si>
  <si>
    <t>Chuquibambilla</t>
  </si>
  <si>
    <t>Aplao</t>
  </si>
  <si>
    <t>Chivay</t>
  </si>
  <si>
    <t>Chuquibamba</t>
  </si>
  <si>
    <t>Cotahuasi</t>
  </si>
  <si>
    <t>Cangallo</t>
  </si>
  <si>
    <t>Huanca Sancos</t>
  </si>
  <si>
    <t>Huanta</t>
  </si>
  <si>
    <t>San Miguel</t>
  </si>
  <si>
    <t>Puquio</t>
  </si>
  <si>
    <t>Coracora</t>
  </si>
  <si>
    <t>Pausa</t>
  </si>
  <si>
    <t>Querobamba</t>
  </si>
  <si>
    <t>Huancapi</t>
  </si>
  <si>
    <t>Cajabamba</t>
  </si>
  <si>
    <t>Chota</t>
  </si>
  <si>
    <t xml:space="preserve">Cutervo </t>
  </si>
  <si>
    <t>Bambamarca</t>
  </si>
  <si>
    <t>San Ignacio</t>
  </si>
  <si>
    <t>San Marcos</t>
  </si>
  <si>
    <t>San Pablo</t>
  </si>
  <si>
    <t>Acomayo</t>
  </si>
  <si>
    <t>Anta</t>
  </si>
  <si>
    <t>Calca</t>
  </si>
  <si>
    <t>Yanaoca</t>
  </si>
  <si>
    <t>Sicuani</t>
  </si>
  <si>
    <t>Espinar</t>
  </si>
  <si>
    <t>Quillabamba</t>
  </si>
  <si>
    <t>Paruro</t>
  </si>
  <si>
    <t>Paucartambo</t>
  </si>
  <si>
    <t>Urcos</t>
  </si>
  <si>
    <t>Urubamba</t>
  </si>
  <si>
    <t>Acobamba</t>
  </si>
  <si>
    <t>Lircay</t>
  </si>
  <si>
    <t>Castrovirreyna</t>
  </si>
  <si>
    <t>Churcampa</t>
  </si>
  <si>
    <t>Pampas</t>
  </si>
  <si>
    <t>Ambo</t>
  </si>
  <si>
    <t>Huacaybamba</t>
  </si>
  <si>
    <t>Llata</t>
  </si>
  <si>
    <t>Huacrachuco</t>
  </si>
  <si>
    <t>Panao</t>
  </si>
  <si>
    <t>Chavinillo</t>
  </si>
  <si>
    <t>Chincha  Alta</t>
  </si>
  <si>
    <t>Palpa</t>
  </si>
  <si>
    <t>La Merced</t>
  </si>
  <si>
    <t>Chupaca</t>
  </si>
  <si>
    <t>Jauja</t>
  </si>
  <si>
    <t>Satipo</t>
  </si>
  <si>
    <t>Tarma</t>
  </si>
  <si>
    <t>La Oroya</t>
  </si>
  <si>
    <t>Cascas</t>
  </si>
  <si>
    <t>Otuzco</t>
  </si>
  <si>
    <t>Tayabamba</t>
  </si>
  <si>
    <t>Huamachuco</t>
  </si>
  <si>
    <t>Ferreñafe</t>
  </si>
  <si>
    <t>Cajatambo</t>
  </si>
  <si>
    <t xml:space="preserve">Canta </t>
  </si>
  <si>
    <t>Matucana</t>
  </si>
  <si>
    <t>Yauyos</t>
  </si>
  <si>
    <t>Caballococha</t>
  </si>
  <si>
    <t>Omate</t>
  </si>
  <si>
    <t>Yanahuanca</t>
  </si>
  <si>
    <t>Ayabaca</t>
  </si>
  <si>
    <t>Huancabamba</t>
  </si>
  <si>
    <t>Chulucanas</t>
  </si>
  <si>
    <t>Sullana</t>
  </si>
  <si>
    <t>Macusani</t>
  </si>
  <si>
    <t>Lampa</t>
  </si>
  <si>
    <t>Ayaviri</t>
  </si>
  <si>
    <t>Moho</t>
  </si>
  <si>
    <t>Putina</t>
  </si>
  <si>
    <t>Juliaca</t>
  </si>
  <si>
    <t>Sandia</t>
  </si>
  <si>
    <t>Bellavista</t>
  </si>
  <si>
    <t>Saposoa</t>
  </si>
  <si>
    <t>Lamas</t>
  </si>
  <si>
    <t>Picota</t>
  </si>
  <si>
    <t>Rioja</t>
  </si>
  <si>
    <t>Tarapoto</t>
  </si>
  <si>
    <t>Tocache  Nuevo</t>
  </si>
  <si>
    <t>Candarave</t>
  </si>
  <si>
    <t>Locumba</t>
  </si>
  <si>
    <t>Tarata</t>
  </si>
  <si>
    <t>Zarumilla</t>
  </si>
  <si>
    <t>Atalaya</t>
  </si>
  <si>
    <t>Esperanza</t>
  </si>
  <si>
    <t>Capital de provincia</t>
  </si>
  <si>
    <t xml:space="preserve">San Martín  </t>
  </si>
  <si>
    <t>Chiquián</t>
  </si>
  <si>
    <t>Celendín</t>
  </si>
  <si>
    <t>Contumazá</t>
  </si>
  <si>
    <t>Jaén</t>
  </si>
  <si>
    <t>San Miguel  de Pallaques</t>
  </si>
  <si>
    <t>Santo Tomás</t>
  </si>
  <si>
    <t>La Unión</t>
  </si>
  <si>
    <t>Jesús</t>
  </si>
  <si>
    <t>Tingo  María</t>
  </si>
  <si>
    <t>Concepción</t>
  </si>
  <si>
    <t>Junín</t>
  </si>
  <si>
    <t>Bolívar</t>
  </si>
  <si>
    <t>Chepén</t>
  </si>
  <si>
    <t>Julcán</t>
  </si>
  <si>
    <t>San Pedro de Lloc</t>
  </si>
  <si>
    <t>Santiago de Chuco</t>
  </si>
  <si>
    <t>San Vicente de  Cañete</t>
  </si>
  <si>
    <t>Oyón</t>
  </si>
  <si>
    <t>Azángaro</t>
  </si>
  <si>
    <t xml:space="preserve">Huancané </t>
  </si>
  <si>
    <t>Juanjuí</t>
  </si>
  <si>
    <t/>
  </si>
  <si>
    <t>Fuente: Instituto Nacional de Estadística e Informática</t>
  </si>
  <si>
    <t>poblacional</t>
  </si>
  <si>
    <t>por</t>
  </si>
  <si>
    <t>kilómetro</t>
  </si>
  <si>
    <t>nivel del</t>
  </si>
  <si>
    <t>(Metros</t>
  </si>
  <si>
    <t>sobre el</t>
  </si>
  <si>
    <t>Arequipa</t>
  </si>
  <si>
    <t>Ica</t>
  </si>
  <si>
    <t>Lambayeque</t>
  </si>
  <si>
    <t>Lima</t>
  </si>
  <si>
    <t>Moquegua</t>
  </si>
  <si>
    <t>Tumbes</t>
  </si>
  <si>
    <t>Amazonas</t>
  </si>
  <si>
    <t>Pasco</t>
  </si>
  <si>
    <t>Ucayali</t>
  </si>
  <si>
    <t>Puno</t>
  </si>
  <si>
    <t>Chimbote</t>
  </si>
  <si>
    <t>Casma</t>
  </si>
  <si>
    <t>Huarmey</t>
  </si>
  <si>
    <t>Mollendo</t>
  </si>
  <si>
    <t>Callao</t>
  </si>
  <si>
    <t>Pisco</t>
  </si>
  <si>
    <t>Nazca</t>
  </si>
  <si>
    <t xml:space="preserve"> </t>
  </si>
  <si>
    <t>Densidad</t>
  </si>
  <si>
    <t>Superficie</t>
  </si>
  <si>
    <t>Continúa...</t>
  </si>
  <si>
    <t>mar)</t>
  </si>
  <si>
    <t>(Kilómetros</t>
  </si>
  <si>
    <t>Áncash  2/</t>
  </si>
  <si>
    <t>Conclusión</t>
  </si>
  <si>
    <t>San Lorenzo</t>
  </si>
  <si>
    <t>(Habitantes</t>
  </si>
  <si>
    <t xml:space="preserve">              - Dirección Técnica de Demografía e Indicadores Sociales.</t>
  </si>
  <si>
    <t>Población</t>
  </si>
  <si>
    <t>(Habitantes)</t>
  </si>
  <si>
    <t xml:space="preserve">1.12   SUPERFICIE, POBLACIÓN, DENSIDAD POBLACIONAL Y ALTITUD </t>
  </si>
  <si>
    <t xml:space="preserve">  4/ Provincia Constitucional, Ley S/N del 22 de abril de 1857. Incluye 17,63 km2  de  superficie insular oceánica.</t>
  </si>
  <si>
    <t>Bongará</t>
  </si>
  <si>
    <t>Condorcanqui</t>
  </si>
  <si>
    <t>Luya</t>
  </si>
  <si>
    <t>Rodríguez de Mendoza</t>
  </si>
  <si>
    <t>Utcubamba</t>
  </si>
  <si>
    <t>Antonio Raimondi</t>
  </si>
  <si>
    <t>Asunción</t>
  </si>
  <si>
    <t>Bolognesi</t>
  </si>
  <si>
    <t>Carlos Fermín Fitzcarrald</t>
  </si>
  <si>
    <t>Huaylas</t>
  </si>
  <si>
    <t>Mariscal Luzuriaga</t>
  </si>
  <si>
    <t>Pallasca</t>
  </si>
  <si>
    <t>Santa</t>
  </si>
  <si>
    <t>Aymaraes</t>
  </si>
  <si>
    <t>Cotabambas</t>
  </si>
  <si>
    <t>Grau</t>
  </si>
  <si>
    <t>Castilla</t>
  </si>
  <si>
    <t>Caylloma</t>
  </si>
  <si>
    <t>Condesuyos</t>
  </si>
  <si>
    <t>Islay</t>
  </si>
  <si>
    <t>Huamanga</t>
  </si>
  <si>
    <t>La Mar</t>
  </si>
  <si>
    <t>Lucanas</t>
  </si>
  <si>
    <t>Parinacochas</t>
  </si>
  <si>
    <t>Páucar del Sara Sara</t>
  </si>
  <si>
    <t>Sucre</t>
  </si>
  <si>
    <t>Víctor Fajardo</t>
  </si>
  <si>
    <t>Hualgayoc</t>
  </si>
  <si>
    <t>Santa Cruz</t>
  </si>
  <si>
    <t xml:space="preserve">Callao </t>
  </si>
  <si>
    <t>Canas</t>
  </si>
  <si>
    <t>Canchis</t>
  </si>
  <si>
    <t>Chumbivilcas</t>
  </si>
  <si>
    <t>La Convención</t>
  </si>
  <si>
    <t>Quispicanchi</t>
  </si>
  <si>
    <t>Angaraes</t>
  </si>
  <si>
    <t>Tayacaja</t>
  </si>
  <si>
    <t>Dos de Mayo</t>
  </si>
  <si>
    <t>Huamalíes</t>
  </si>
  <si>
    <t>Leoncio Prado</t>
  </si>
  <si>
    <t xml:space="preserve">Marañón </t>
  </si>
  <si>
    <t>Pachitea</t>
  </si>
  <si>
    <t>Lauricocha</t>
  </si>
  <si>
    <t>Yarowilca</t>
  </si>
  <si>
    <t>Chincha</t>
  </si>
  <si>
    <t>Chanchamayo</t>
  </si>
  <si>
    <t>Yauli</t>
  </si>
  <si>
    <t>Pacasmayo</t>
  </si>
  <si>
    <t>Pataz</t>
  </si>
  <si>
    <t>Sánchez Carrión</t>
  </si>
  <si>
    <t>Gran Chimú</t>
  </si>
  <si>
    <t>Cañete</t>
  </si>
  <si>
    <t>Huarochirí</t>
  </si>
  <si>
    <t>Huaura</t>
  </si>
  <si>
    <t>Maynas</t>
  </si>
  <si>
    <t>Alto Amazonas</t>
  </si>
  <si>
    <t>Loreto</t>
  </si>
  <si>
    <t>Mariscal Ramón Castilla</t>
  </si>
  <si>
    <t>Datem del Marañón</t>
  </si>
  <si>
    <t>Tambopata</t>
  </si>
  <si>
    <t>Tahuamanu</t>
  </si>
  <si>
    <t>Mariscal Nieto</t>
  </si>
  <si>
    <t>General Sánchez Cerro</t>
  </si>
  <si>
    <t>Daniel Alcides Carrión</t>
  </si>
  <si>
    <t>Morropón</t>
  </si>
  <si>
    <t>Carabaya</t>
  </si>
  <si>
    <t>Chucuito</t>
  </si>
  <si>
    <t>El Collao</t>
  </si>
  <si>
    <t>Melgar</t>
  </si>
  <si>
    <t>San Antonio de Putina</t>
  </si>
  <si>
    <t>San Román</t>
  </si>
  <si>
    <t>El Dorado</t>
  </si>
  <si>
    <t>Huallaga</t>
  </si>
  <si>
    <t>Mariscal Cáceres</t>
  </si>
  <si>
    <t>San Martín</t>
  </si>
  <si>
    <t>Tocache</t>
  </si>
  <si>
    <t>Jorge Basadre</t>
  </si>
  <si>
    <t>Contralmirante Villar</t>
  </si>
  <si>
    <t>Coronel Portillo</t>
  </si>
  <si>
    <t>Padre Abad</t>
  </si>
  <si>
    <t>Purús</t>
  </si>
  <si>
    <t>proyectada</t>
  </si>
  <si>
    <t xml:space="preserve">              - Dirección Nacional de Censos y Encuestas.       </t>
  </si>
  <si>
    <t xml:space="preserve">    DE LA CAPITAL, SEGÚN DEPARTAMENTO Y PROVINCIA, 2013</t>
  </si>
  <si>
    <t>30/Jun/2013</t>
  </si>
  <si>
    <r>
      <t xml:space="preserve">  1/ Incluye: 4 996,28 km</t>
    </r>
    <r>
      <rPr>
        <vertAlign val="superscript"/>
        <sz val="7"/>
        <rFont val="Arial Narrow"/>
        <family val="2"/>
      </rPr>
      <t>2</t>
    </r>
    <r>
      <rPr>
        <sz val="7"/>
        <rFont val="Arial Narrow"/>
        <family val="2"/>
      </rPr>
      <t xml:space="preserve"> que corresponde al lado peruano del lago Titicaca.</t>
    </r>
  </si>
  <si>
    <r>
      <t xml:space="preserve">  2/ Incluye:  12,23 km</t>
    </r>
    <r>
      <rPr>
        <vertAlign val="superscript"/>
        <sz val="7"/>
        <rFont val="Arial Narrow"/>
        <family val="2"/>
      </rPr>
      <t>2</t>
    </r>
    <r>
      <rPr>
        <sz val="7"/>
        <rFont val="Arial Narrow"/>
        <family val="2"/>
      </rPr>
      <t xml:space="preserve">  de  superficie insular oceánica.</t>
    </r>
  </si>
  <si>
    <r>
      <t xml:space="preserve">  3/ Incluye:    1,46 km</t>
    </r>
    <r>
      <rPr>
        <vertAlign val="superscript"/>
        <sz val="7"/>
        <rFont val="Arial Narrow"/>
        <family val="2"/>
      </rPr>
      <t>2</t>
    </r>
    <r>
      <rPr>
        <sz val="7"/>
        <rFont val="Arial Narrow"/>
        <family val="2"/>
      </rPr>
      <t xml:space="preserve">  de  superficie insular oceánica.</t>
    </r>
  </si>
  <si>
    <r>
      <t xml:space="preserve">  5/ Incluye:  22,32 km</t>
    </r>
    <r>
      <rPr>
        <vertAlign val="superscript"/>
        <sz val="7"/>
        <rFont val="Arial Narrow"/>
        <family val="2"/>
      </rPr>
      <t>2</t>
    </r>
    <r>
      <rPr>
        <sz val="7"/>
        <rFont val="Arial Narrow"/>
        <family val="2"/>
      </rPr>
      <t xml:space="preserve">  de  superficie insular oceánica.</t>
    </r>
  </si>
  <si>
    <r>
      <t xml:space="preserve">  6/ Incluye:    4,48 km</t>
    </r>
    <r>
      <rPr>
        <vertAlign val="superscript"/>
        <sz val="7"/>
        <rFont val="Arial Narrow"/>
        <family val="2"/>
      </rPr>
      <t>2</t>
    </r>
    <r>
      <rPr>
        <sz val="7"/>
        <rFont val="Arial Narrow"/>
        <family val="2"/>
      </rPr>
      <t xml:space="preserve">  de  superficie insular oceánica.</t>
    </r>
  </si>
  <si>
    <r>
      <t xml:space="preserve">  7/ Incluye:  18,00 km</t>
    </r>
    <r>
      <rPr>
        <vertAlign val="superscript"/>
        <sz val="7"/>
        <rFont val="Arial Narrow"/>
        <family val="2"/>
      </rPr>
      <t>2</t>
    </r>
    <r>
      <rPr>
        <sz val="7"/>
        <rFont val="Arial Narrow"/>
        <family val="2"/>
      </rPr>
      <t xml:space="preserve">  de  superficie insular oceánica.</t>
    </r>
  </si>
  <si>
    <r>
      <t xml:space="preserve">  8/ Incluye:    4,73 km</t>
    </r>
    <r>
      <rPr>
        <vertAlign val="superscript"/>
        <sz val="7"/>
        <rFont val="Arial Narrow"/>
        <family val="2"/>
      </rPr>
      <t>2</t>
    </r>
    <r>
      <rPr>
        <sz val="7"/>
        <rFont val="Arial Narrow"/>
        <family val="2"/>
      </rPr>
      <t xml:space="preserve">  de  superficie insular oceánica.</t>
    </r>
  </si>
  <si>
    <r>
      <t xml:space="preserve">  9/ Incluye:    0,09 km</t>
    </r>
    <r>
      <rPr>
        <vertAlign val="superscript"/>
        <sz val="7"/>
        <rFont val="Arial Narrow"/>
        <family val="2"/>
      </rPr>
      <t>2</t>
    </r>
    <r>
      <rPr>
        <sz val="7"/>
        <rFont val="Arial Narrow"/>
        <family val="2"/>
      </rPr>
      <t xml:space="preserve">  de  superficie insular oceánica.</t>
    </r>
  </si>
  <si>
    <r>
      <t>10/ Incluye:    1,32 km</t>
    </r>
    <r>
      <rPr>
        <vertAlign val="superscript"/>
        <sz val="7"/>
        <rFont val="Arial Narrow"/>
        <family val="2"/>
      </rPr>
      <t>2</t>
    </r>
    <r>
      <rPr>
        <sz val="7"/>
        <rFont val="Arial Narrow"/>
        <family val="2"/>
      </rPr>
      <t xml:space="preserve">  de  superficie insular oceánica.</t>
    </r>
  </si>
  <si>
    <r>
      <t>11/ Incluye:  14,50 km</t>
    </r>
    <r>
      <rPr>
        <vertAlign val="superscript"/>
        <sz val="7"/>
        <rFont val="Arial Narrow"/>
        <family val="2"/>
      </rPr>
      <t>2</t>
    </r>
    <r>
      <rPr>
        <sz val="7"/>
        <rFont val="Arial Narrow"/>
        <family val="2"/>
      </rPr>
      <t xml:space="preserve">  de  superficie insular lacustre que no integran los distritos insulares Amantaní (Provincia de Puno) y Anapia  (Provincia de Yunguyo); y 4 996,28 km2 de la parte peruana del lago Titicaca.</t>
    </r>
  </si>
  <si>
    <r>
      <t>12/ Incluye:    0,16 km</t>
    </r>
    <r>
      <rPr>
        <vertAlign val="superscript"/>
        <sz val="7"/>
        <rFont val="Arial Narrow"/>
        <family val="2"/>
      </rPr>
      <t>2</t>
    </r>
    <r>
      <rPr>
        <sz val="7"/>
        <rFont val="Arial Narrow"/>
        <family val="2"/>
      </rPr>
      <t xml:space="preserve">  de  superficie insular oceánica.</t>
    </r>
  </si>
  <si>
    <r>
      <t>13/ Incluye:  11,94 km</t>
    </r>
    <r>
      <rPr>
        <vertAlign val="superscript"/>
        <sz val="7"/>
        <rFont val="Arial Narrow"/>
        <family val="2"/>
      </rPr>
      <t>2</t>
    </r>
    <r>
      <rPr>
        <sz val="7"/>
        <rFont val="Arial Narrow"/>
        <family val="2"/>
      </rPr>
      <t xml:space="preserve">  de  superficie insular oceánica.  </t>
    </r>
  </si>
  <si>
    <t>Ubigeo</t>
  </si>
  <si>
    <t>Capital</t>
  </si>
  <si>
    <t>(km²)</t>
  </si>
  <si>
    <t>39 249</t>
  </si>
  <si>
    <t>Áncash</t>
  </si>
  <si>
    <t>35 915</t>
  </si>
  <si>
    <t>20 896</t>
  </si>
  <si>
    <t>63 345</t>
  </si>
  <si>
    <t>43 815</t>
  </si>
  <si>
    <t>33 318</t>
  </si>
  <si>
    <t>71 987</t>
  </si>
  <si>
    <t>22 131</t>
  </si>
  <si>
    <t>36 849</t>
  </si>
  <si>
    <t>21 328</t>
  </si>
  <si>
    <t>44 197</t>
  </si>
  <si>
    <t>La Libertad</t>
  </si>
  <si>
    <t>25 500</t>
  </si>
  <si>
    <t>14 231</t>
  </si>
  <si>
    <t>Lima Metropolitana</t>
  </si>
  <si>
    <t>2 673</t>
  </si>
  <si>
    <t>Lima (departamento)</t>
  </si>
  <si>
    <t>34 802</t>
  </si>
  <si>
    <t>368 852</t>
  </si>
  <si>
    <t>85 301</t>
  </si>
  <si>
    <t>15 734</t>
  </si>
  <si>
    <t>25 320</t>
  </si>
  <si>
    <t>35 892</t>
  </si>
  <si>
    <t>71 999</t>
  </si>
  <si>
    <t>51 253</t>
  </si>
  <si>
    <t>16 076</t>
  </si>
  <si>
    <t>4 669</t>
  </si>
  <si>
    <t>102 411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</si>
</sst>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_)"/>
    <numFmt numFmtId="165" formatCode="0_)"/>
    <numFmt numFmtId="166" formatCode="###\ ###\ ###"/>
    <numFmt numFmtId="167" formatCode="###\ ###\ ##0.00"/>
    <numFmt numFmtId="168" formatCode="#\ ###\ ##0.00"/>
  </numFmts>
  <fonts count="13" x14ac:knownFonts="1">
    <font>
      <sz val="8"/>
      <name val="Helv"/>
    </font>
    <font>
      <b/>
      <sz val="9"/>
      <name val="Arial Narrow"/>
      <family val="2"/>
    </font>
    <font>
      <b/>
      <i/>
      <sz val="8"/>
      <name val="Arial Narrow"/>
      <family val="2"/>
    </font>
    <font>
      <sz val="8"/>
      <name val="Arial Narrow"/>
      <family val="2"/>
    </font>
    <font>
      <i/>
      <sz val="8"/>
      <name val="Arial Narrow"/>
      <family val="2"/>
    </font>
    <font>
      <b/>
      <sz val="8"/>
      <name val="Arial Narrow"/>
      <family val="2"/>
    </font>
    <font>
      <b/>
      <sz val="7"/>
      <name val="Arial Narrow"/>
      <family val="2"/>
    </font>
    <font>
      <b/>
      <i/>
      <sz val="9"/>
      <name val="Arial Narrow"/>
      <family val="2"/>
    </font>
    <font>
      <sz val="9"/>
      <name val="Arial Narrow"/>
      <family val="2"/>
    </font>
    <font>
      <sz val="7"/>
      <name val="Arial Narrow"/>
      <family val="2"/>
    </font>
    <font>
      <vertAlign val="superscript"/>
      <sz val="7"/>
      <name val="Arial Narrow"/>
      <family val="2"/>
    </font>
    <font>
      <b/>
      <sz val="8"/>
      <color rgb="FF495057"/>
      <name val="Segoe UI"/>
      <family val="2"/>
    </font>
    <font>
      <sz val="8"/>
      <color rgb="FF212529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E9ECEF"/>
        <bgColor indexed="64"/>
      </patternFill>
    </fill>
  </fills>
  <borders count="11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DEE2E6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horizontal="centerContinuous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0" borderId="0" xfId="0" quotePrefix="1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right" vertical="center"/>
    </xf>
    <xf numFmtId="167" fontId="5" fillId="0" borderId="0" xfId="0" applyNumberFormat="1" applyFont="1" applyAlignment="1">
      <alignment horizontal="right" vertical="center"/>
    </xf>
    <xf numFmtId="166" fontId="5" fillId="0" borderId="0" xfId="0" applyNumberFormat="1" applyFont="1" applyAlignment="1">
      <alignment horizontal="right" vertical="center"/>
    </xf>
    <xf numFmtId="4" fontId="5" fillId="0" borderId="0" xfId="0" applyNumberFormat="1" applyFont="1" applyAlignment="1">
      <alignment horizontal="right" vertical="center"/>
    </xf>
    <xf numFmtId="164" fontId="5" fillId="0" borderId="0" xfId="0" applyNumberFormat="1" applyFont="1" applyAlignment="1">
      <alignment horizontal="right" vertical="center"/>
    </xf>
    <xf numFmtId="164" fontId="3" fillId="0" borderId="0" xfId="0" applyNumberFormat="1" applyFont="1" applyAlignment="1">
      <alignment vertical="center"/>
    </xf>
    <xf numFmtId="164" fontId="3" fillId="0" borderId="0" xfId="0" applyNumberFormat="1" applyFont="1" applyAlignment="1">
      <alignment horizontal="right" vertical="center"/>
    </xf>
    <xf numFmtId="167" fontId="3" fillId="0" borderId="0" xfId="0" applyNumberFormat="1" applyFont="1" applyAlignment="1">
      <alignment horizontal="right" vertical="center"/>
    </xf>
    <xf numFmtId="166" fontId="3" fillId="0" borderId="0" xfId="0" applyNumberFormat="1" applyFont="1" applyAlignment="1">
      <alignment horizontal="right" vertical="center"/>
    </xf>
    <xf numFmtId="4" fontId="3" fillId="0" borderId="0" xfId="0" applyNumberFormat="1" applyFont="1" applyAlignment="1">
      <alignment horizontal="right" vertical="center"/>
    </xf>
    <xf numFmtId="164" fontId="5" fillId="0" borderId="0" xfId="0" applyNumberFormat="1" applyFont="1" applyAlignment="1">
      <alignment vertical="center"/>
    </xf>
    <xf numFmtId="167" fontId="3" fillId="0" borderId="0" xfId="0" applyNumberFormat="1" applyFont="1" applyAlignment="1">
      <alignment vertical="center"/>
    </xf>
    <xf numFmtId="164" fontId="3" fillId="0" borderId="0" xfId="0" applyNumberFormat="1" applyFont="1" applyAlignment="1">
      <alignment horizontal="left" vertical="center"/>
    </xf>
    <xf numFmtId="3" fontId="3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164" fontId="3" fillId="0" borderId="0" xfId="0" quotePrefix="1" applyNumberFormat="1" applyFont="1" applyAlignment="1">
      <alignment horizontal="left" vertical="center"/>
    </xf>
    <xf numFmtId="0" fontId="3" fillId="0" borderId="0" xfId="0" quotePrefix="1" applyFont="1" applyAlignment="1">
      <alignment horizontal="left" vertical="center"/>
    </xf>
    <xf numFmtId="3" fontId="6" fillId="0" borderId="0" xfId="0" applyNumberFormat="1" applyFont="1" applyAlignment="1">
      <alignment horizontal="right" vertical="center"/>
    </xf>
    <xf numFmtId="3" fontId="5" fillId="0" borderId="0" xfId="0" applyNumberFormat="1" applyFont="1" applyAlignment="1">
      <alignment horizontal="right" vertical="center"/>
    </xf>
    <xf numFmtId="165" fontId="3" fillId="0" borderId="0" xfId="0" applyNumberFormat="1" applyFont="1" applyAlignment="1">
      <alignment horizontal="right" vertical="center"/>
    </xf>
    <xf numFmtId="168" fontId="5" fillId="0" borderId="0" xfId="0" applyNumberFormat="1" applyFont="1" applyAlignment="1">
      <alignment horizontal="right" vertical="center"/>
    </xf>
    <xf numFmtId="168" fontId="3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right" vertical="center"/>
    </xf>
    <xf numFmtId="164" fontId="5" fillId="0" borderId="0" xfId="0" quotePrefix="1" applyNumberFormat="1" applyFont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9" fillId="0" borderId="0" xfId="0" quotePrefix="1" applyFont="1" applyAlignment="1">
      <alignment horizontal="left" vertical="center"/>
    </xf>
    <xf numFmtId="2" fontId="9" fillId="0" borderId="0" xfId="0" applyNumberFormat="1" applyFont="1" applyAlignment="1">
      <alignment horizontal="right" vertical="center"/>
    </xf>
    <xf numFmtId="164" fontId="9" fillId="0" borderId="0" xfId="0" applyNumberFormat="1" applyFont="1" applyAlignment="1">
      <alignment horizontal="right" vertical="center"/>
    </xf>
    <xf numFmtId="164" fontId="9" fillId="0" borderId="0" xfId="0" applyNumberFormat="1" applyFont="1" applyAlignment="1">
      <alignment vertical="center"/>
    </xf>
    <xf numFmtId="1" fontId="9" fillId="0" borderId="0" xfId="0" applyNumberFormat="1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9" fillId="0" borderId="0" xfId="0" applyFont="1" applyAlignment="1">
      <alignment vertical="center"/>
    </xf>
    <xf numFmtId="0" fontId="6" fillId="0" borderId="0" xfId="0" quotePrefix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quotePrefix="1" applyFont="1" applyBorder="1" applyAlignment="1">
      <alignment horizontal="left" vertical="center"/>
    </xf>
    <xf numFmtId="0" fontId="3" fillId="0" borderId="2" xfId="0" quotePrefix="1" applyFont="1" applyBorder="1" applyAlignment="1">
      <alignment horizontal="left" vertical="center"/>
    </xf>
    <xf numFmtId="0" fontId="3" fillId="0" borderId="3" xfId="0" quotePrefix="1" applyFont="1" applyBorder="1" applyAlignment="1">
      <alignment horizontal="left" vertical="center"/>
    </xf>
    <xf numFmtId="0" fontId="5" fillId="0" borderId="4" xfId="0" applyFont="1" applyBorder="1" applyAlignment="1">
      <alignment horizontal="right" vertical="center"/>
    </xf>
    <xf numFmtId="0" fontId="5" fillId="0" borderId="5" xfId="0" applyFont="1" applyBorder="1" applyAlignment="1">
      <alignment horizontal="right" vertical="center"/>
    </xf>
    <xf numFmtId="0" fontId="5" fillId="0" borderId="5" xfId="0" quotePrefix="1" applyFont="1" applyBorder="1" applyAlignment="1">
      <alignment horizontal="right" vertical="center"/>
    </xf>
    <xf numFmtId="0" fontId="5" fillId="0" borderId="6" xfId="0" applyFont="1" applyBorder="1" applyAlignment="1">
      <alignment horizontal="right" vertical="center"/>
    </xf>
    <xf numFmtId="0" fontId="5" fillId="0" borderId="6" xfId="0" quotePrefix="1" applyFont="1" applyBorder="1" applyAlignment="1">
      <alignment horizontal="right" vertical="center"/>
    </xf>
    <xf numFmtId="0" fontId="5" fillId="0" borderId="7" xfId="0" quotePrefix="1" applyFont="1" applyBorder="1" applyAlignment="1">
      <alignment horizontal="right" vertical="center"/>
    </xf>
    <xf numFmtId="0" fontId="5" fillId="0" borderId="8" xfId="0" quotePrefix="1" applyFont="1" applyBorder="1" applyAlignment="1">
      <alignment horizontal="right" vertical="center"/>
    </xf>
    <xf numFmtId="0" fontId="5" fillId="0" borderId="8" xfId="0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0" fontId="3" fillId="0" borderId="5" xfId="0" applyFont="1" applyBorder="1" applyAlignment="1">
      <alignment horizontal="right" vertical="center"/>
    </xf>
    <xf numFmtId="4" fontId="3" fillId="0" borderId="7" xfId="0" applyNumberFormat="1" applyFont="1" applyBorder="1" applyAlignment="1">
      <alignment horizontal="right" vertical="center"/>
    </xf>
    <xf numFmtId="4" fontId="3" fillId="0" borderId="8" xfId="0" applyNumberFormat="1" applyFont="1" applyBorder="1" applyAlignment="1">
      <alignment horizontal="right" vertical="center"/>
    </xf>
    <xf numFmtId="164" fontId="3" fillId="0" borderId="8" xfId="0" applyNumberFormat="1" applyFont="1" applyBorder="1" applyAlignment="1">
      <alignment horizontal="right" vertical="center"/>
    </xf>
    <xf numFmtId="164" fontId="3" fillId="0" borderId="8" xfId="0" applyNumberFormat="1" applyFont="1" applyBorder="1" applyAlignment="1">
      <alignment vertical="center"/>
    </xf>
    <xf numFmtId="3" fontId="3" fillId="0" borderId="8" xfId="0" applyNumberFormat="1" applyFont="1" applyBorder="1" applyAlignment="1">
      <alignment horizontal="right" vertical="center"/>
    </xf>
    <xf numFmtId="167" fontId="3" fillId="0" borderId="6" xfId="0" applyNumberFormat="1" applyFont="1" applyBorder="1" applyAlignment="1">
      <alignment horizontal="right" vertical="center"/>
    </xf>
    <xf numFmtId="0" fontId="11" fillId="2" borderId="0" xfId="0" applyFont="1" applyFill="1" applyAlignment="1">
      <alignment horizontal="center" vertical="center" wrapText="1"/>
    </xf>
    <xf numFmtId="0" fontId="11" fillId="2" borderId="10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9" fillId="0" borderId="0" xfId="0" quotePrefix="1" applyFont="1" applyAlignment="1">
      <alignment horizontal="justify" vertical="top"/>
    </xf>
    <xf numFmtId="0" fontId="9" fillId="0" borderId="0" xfId="0" applyFont="1" applyAlignment="1">
      <alignment horizontal="justify" vertical="top"/>
    </xf>
    <xf numFmtId="0" fontId="5" fillId="0" borderId="9" xfId="0" quotePrefix="1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1" fillId="2" borderId="0" xfId="0" applyFont="1" applyFill="1" applyAlignment="1">
      <alignment horizontal="center" vertical="center" wrapText="1"/>
    </xf>
    <xf numFmtId="0" fontId="11" fillId="2" borderId="10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11" fillId="2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14817</xdr:colOff>
      <xdr:row>293</xdr:row>
      <xdr:rowOff>25400</xdr:rowOff>
    </xdr:from>
    <xdr:ext cx="4204927" cy="264837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A5AE5DFC-FA92-D356-5178-F43E74AD4C39}"/>
            </a:ext>
          </a:extLst>
        </xdr:cNvPr>
        <xdr:cNvSpPr txBox="1"/>
      </xdr:nvSpPr>
      <xdr:spPr>
        <a:xfrm>
          <a:off x="19050" y="34067750"/>
          <a:ext cx="4200524" cy="2604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72000" bIns="0" rtlCol="0" anchor="ctr" anchorCtr="0">
          <a:noAutofit/>
        </a:bodyPr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650" b="1">
              <a:latin typeface="Arial Narrow" pitchFamily="34" charset="0"/>
            </a:rPr>
            <a:t>Nota:</a:t>
          </a:r>
          <a:r>
            <a:rPr lang="es-ES" sz="650">
              <a:latin typeface="Arial Narrow" pitchFamily="34" charset="0"/>
            </a:rPr>
            <a:t> </a:t>
          </a:r>
          <a:r>
            <a:rPr lang="es-ES" sz="650">
              <a:solidFill>
                <a:schemeClr val="dk1"/>
              </a:solidFill>
              <a:effectLst/>
              <a:latin typeface="Arial Narrow" pitchFamily="34" charset="0"/>
              <a:ea typeface="+mn-ea"/>
              <a:cs typeface="+mn-cs"/>
            </a:rPr>
            <a:t>Mediante la aprobación en mayo de 2013 del Reglamento de Arbitraje Territorial, un Tribunal Técnico continuará definiendo la delimitación (precisándose el área superficial) donde exista imprecisión de límites.</a:t>
          </a:r>
          <a:endParaRPr lang="es-ES" sz="650">
            <a:latin typeface="Arial Narrow" pitchFamily="34" charset="0"/>
          </a:endParaRP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preserveFormatting="0" connectionId="1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12"/>
  <sheetViews>
    <sheetView showGridLines="0" zoomScale="130" zoomScaleNormal="130" workbookViewId="0">
      <selection activeCell="A100" sqref="A100"/>
    </sheetView>
  </sheetViews>
  <sheetFormatPr baseColWidth="10" defaultColWidth="12" defaultRowHeight="10.35" x14ac:dyDescent="0.35"/>
  <cols>
    <col min="1" max="1" width="17.4609375" style="27" customWidth="1"/>
    <col min="2" max="2" width="11" style="4" customWidth="1"/>
    <col min="3" max="3" width="9.4609375" style="4" customWidth="1"/>
    <col min="4" max="4" width="8.4609375" style="4" customWidth="1"/>
    <col min="5" max="5" width="0.84375" style="4" customWidth="1"/>
    <col min="6" max="6" width="17.84375" style="5" customWidth="1"/>
    <col min="7" max="7" width="8.69140625" style="4" customWidth="1"/>
    <col min="8" max="16384" width="12" style="5"/>
  </cols>
  <sheetData>
    <row r="1" spans="1:7" ht="16.5" customHeight="1" x14ac:dyDescent="0.35">
      <c r="A1" s="1" t="s">
        <v>240</v>
      </c>
      <c r="B1" s="2"/>
      <c r="C1" s="2"/>
      <c r="D1" s="2"/>
      <c r="E1" s="2"/>
      <c r="F1" s="3"/>
    </row>
    <row r="2" spans="1:7" ht="16.5" customHeight="1" x14ac:dyDescent="0.35">
      <c r="A2" s="6" t="s">
        <v>325</v>
      </c>
      <c r="B2" s="2"/>
      <c r="C2" s="2"/>
      <c r="D2" s="2"/>
      <c r="E2" s="2"/>
      <c r="F2" s="3"/>
    </row>
    <row r="3" spans="1:7" ht="9" customHeight="1" x14ac:dyDescent="0.35">
      <c r="A3" s="7" t="s">
        <v>202</v>
      </c>
      <c r="B3" s="8"/>
      <c r="C3" s="8"/>
      <c r="D3" s="8"/>
      <c r="E3" s="8"/>
    </row>
    <row r="4" spans="1:7" ht="11.25" customHeight="1" x14ac:dyDescent="0.35">
      <c r="A4" s="50"/>
      <c r="B4" s="57" t="s">
        <v>227</v>
      </c>
      <c r="C4" s="58"/>
      <c r="D4" s="59" t="s">
        <v>228</v>
      </c>
      <c r="E4" s="59"/>
      <c r="F4" s="78" t="s">
        <v>179</v>
      </c>
      <c r="G4" s="79"/>
    </row>
    <row r="5" spans="1:7" ht="9.6" customHeight="1" x14ac:dyDescent="0.35">
      <c r="A5" s="51" t="s">
        <v>55</v>
      </c>
      <c r="B5" s="60" t="s">
        <v>229</v>
      </c>
      <c r="C5" s="9" t="s">
        <v>238</v>
      </c>
      <c r="D5" s="10" t="s">
        <v>204</v>
      </c>
      <c r="E5" s="10"/>
      <c r="F5" s="11"/>
      <c r="G5" s="9" t="s">
        <v>0</v>
      </c>
    </row>
    <row r="6" spans="1:7" ht="9.6" customHeight="1" x14ac:dyDescent="0.35">
      <c r="A6" s="51" t="s">
        <v>60</v>
      </c>
      <c r="B6" s="61" t="s">
        <v>232</v>
      </c>
      <c r="C6" s="9" t="s">
        <v>323</v>
      </c>
      <c r="D6" s="9" t="s">
        <v>236</v>
      </c>
      <c r="E6" s="9"/>
      <c r="F6" s="12" t="s">
        <v>21</v>
      </c>
      <c r="G6" s="10" t="s">
        <v>208</v>
      </c>
    </row>
    <row r="7" spans="1:7" ht="9.6" customHeight="1" x14ac:dyDescent="0.35">
      <c r="A7" s="51"/>
      <c r="B7" s="61" t="s">
        <v>4</v>
      </c>
      <c r="C7" s="13" t="s">
        <v>326</v>
      </c>
      <c r="D7" s="9" t="s">
        <v>205</v>
      </c>
      <c r="E7" s="9"/>
      <c r="F7" s="11" t="s">
        <v>227</v>
      </c>
      <c r="G7" s="9" t="s">
        <v>209</v>
      </c>
    </row>
    <row r="8" spans="1:7" ht="9.6" customHeight="1" x14ac:dyDescent="0.35">
      <c r="A8" s="52"/>
      <c r="B8" s="61"/>
      <c r="C8" s="9" t="s">
        <v>239</v>
      </c>
      <c r="D8" s="9" t="s">
        <v>206</v>
      </c>
      <c r="E8" s="9"/>
      <c r="F8" s="11"/>
      <c r="G8" s="9" t="s">
        <v>207</v>
      </c>
    </row>
    <row r="9" spans="1:7" ht="9.6" customHeight="1" x14ac:dyDescent="0.35">
      <c r="A9" s="53"/>
      <c r="B9" s="62"/>
      <c r="C9" s="63"/>
      <c r="D9" s="64" t="s">
        <v>5</v>
      </c>
      <c r="E9" s="64"/>
      <c r="F9" s="65"/>
      <c r="G9" s="64" t="s">
        <v>231</v>
      </c>
    </row>
    <row r="10" spans="1:7" ht="5.0999999999999996" customHeight="1" x14ac:dyDescent="0.35">
      <c r="A10" s="53"/>
      <c r="B10" s="10"/>
      <c r="C10" s="10"/>
      <c r="D10" s="9"/>
      <c r="E10" s="9"/>
      <c r="F10" s="11"/>
    </row>
    <row r="11" spans="1:7" ht="9.6" customHeight="1" x14ac:dyDescent="0.35">
      <c r="A11" s="54" t="s">
        <v>3</v>
      </c>
      <c r="B11" s="14">
        <v>1285215.6000000001</v>
      </c>
      <c r="C11" s="15">
        <v>30475144</v>
      </c>
      <c r="D11" s="16">
        <v>23.712086905885673</v>
      </c>
      <c r="E11" s="17"/>
      <c r="F11" s="18"/>
    </row>
    <row r="12" spans="1:7" ht="9" customHeight="1" x14ac:dyDescent="0.35">
      <c r="A12" s="53" t="s">
        <v>216</v>
      </c>
      <c r="B12" s="14">
        <v>39249.129999999997</v>
      </c>
      <c r="C12" s="15">
        <v>419404</v>
      </c>
      <c r="D12" s="16">
        <v>10.685689084063775</v>
      </c>
      <c r="E12" s="17"/>
      <c r="F12" s="18"/>
      <c r="G12" s="19"/>
    </row>
    <row r="13" spans="1:7" ht="9" customHeight="1" x14ac:dyDescent="0.35">
      <c r="A13" s="52" t="s">
        <v>7</v>
      </c>
      <c r="B13" s="20">
        <v>3312.37</v>
      </c>
      <c r="C13" s="21">
        <v>54950</v>
      </c>
      <c r="D13" s="22">
        <v>16.589330298245667</v>
      </c>
      <c r="E13" s="19"/>
      <c r="F13" s="23" t="s">
        <v>7</v>
      </c>
      <c r="G13" s="15">
        <v>2339</v>
      </c>
    </row>
    <row r="14" spans="1:7" ht="9" customHeight="1" x14ac:dyDescent="0.35">
      <c r="A14" s="52" t="s">
        <v>36</v>
      </c>
      <c r="B14" s="20">
        <v>5652.72</v>
      </c>
      <c r="C14" s="21">
        <v>77306</v>
      </c>
      <c r="D14" s="22">
        <v>13.675894082848611</v>
      </c>
      <c r="E14" s="19"/>
      <c r="F14" s="18" t="s">
        <v>36</v>
      </c>
      <c r="G14" s="21">
        <v>421</v>
      </c>
    </row>
    <row r="15" spans="1:7" ht="9" customHeight="1" x14ac:dyDescent="0.35">
      <c r="A15" s="55" t="s">
        <v>242</v>
      </c>
      <c r="B15" s="20">
        <v>2869.65</v>
      </c>
      <c r="C15" s="21">
        <v>32860</v>
      </c>
      <c r="D15" s="22">
        <v>11.450873799940759</v>
      </c>
      <c r="E15" s="19"/>
      <c r="F15" s="18" t="s">
        <v>69</v>
      </c>
      <c r="G15" s="21">
        <v>1991</v>
      </c>
    </row>
    <row r="16" spans="1:7" ht="9" customHeight="1" x14ac:dyDescent="0.35">
      <c r="A16" s="52" t="s">
        <v>243</v>
      </c>
      <c r="B16" s="24">
        <v>17975.39</v>
      </c>
      <c r="C16" s="21">
        <v>52860</v>
      </c>
      <c r="D16" s="22">
        <v>2.9406872396092658</v>
      </c>
      <c r="E16" s="19"/>
      <c r="F16" s="25" t="s">
        <v>1</v>
      </c>
      <c r="G16" s="21">
        <v>222</v>
      </c>
    </row>
    <row r="17" spans="1:7" ht="9" customHeight="1" x14ac:dyDescent="0.35">
      <c r="A17" s="52" t="s">
        <v>244</v>
      </c>
      <c r="B17" s="20">
        <v>3236.68</v>
      </c>
      <c r="C17" s="21">
        <v>52100</v>
      </c>
      <c r="D17" s="22">
        <v>16.096741105082987</v>
      </c>
      <c r="E17" s="19"/>
      <c r="F17" s="18" t="s">
        <v>70</v>
      </c>
      <c r="G17" s="21">
        <v>2307</v>
      </c>
    </row>
    <row r="18" spans="1:7" ht="9" customHeight="1" x14ac:dyDescent="0.35">
      <c r="A18" s="52" t="s">
        <v>245</v>
      </c>
      <c r="B18" s="20">
        <v>2359.39</v>
      </c>
      <c r="C18" s="21">
        <v>30567</v>
      </c>
      <c r="D18" s="22">
        <v>12.955467302989332</v>
      </c>
      <c r="E18" s="19"/>
      <c r="F18" s="18" t="s">
        <v>71</v>
      </c>
      <c r="G18" s="21">
        <v>1584</v>
      </c>
    </row>
    <row r="19" spans="1:7" ht="9" customHeight="1" x14ac:dyDescent="0.35">
      <c r="A19" s="52" t="s">
        <v>246</v>
      </c>
      <c r="B19" s="20">
        <v>3842.93</v>
      </c>
      <c r="C19" s="21">
        <v>118761</v>
      </c>
      <c r="D19" s="22">
        <v>30.903763534594699</v>
      </c>
      <c r="E19" s="19"/>
      <c r="F19" s="18" t="s">
        <v>72</v>
      </c>
      <c r="G19" s="21">
        <v>446</v>
      </c>
    </row>
    <row r="20" spans="1:7" ht="9" customHeight="1" x14ac:dyDescent="0.35">
      <c r="A20" s="53" t="s">
        <v>233</v>
      </c>
      <c r="B20" s="14">
        <v>35914.81</v>
      </c>
      <c r="C20" s="15">
        <v>1135962</v>
      </c>
      <c r="D20" s="16">
        <v>31.63</v>
      </c>
      <c r="E20" s="17"/>
      <c r="F20" s="18" t="s">
        <v>202</v>
      </c>
      <c r="G20" s="26"/>
    </row>
    <row r="21" spans="1:7" ht="9" customHeight="1" x14ac:dyDescent="0.35">
      <c r="A21" s="52" t="s">
        <v>8</v>
      </c>
      <c r="B21" s="20">
        <v>2492.91</v>
      </c>
      <c r="C21" s="21">
        <v>162889</v>
      </c>
      <c r="D21" s="22">
        <v>65.340906811718042</v>
      </c>
      <c r="E21" s="19"/>
      <c r="F21" s="12" t="s">
        <v>8</v>
      </c>
      <c r="G21" s="15">
        <v>3038</v>
      </c>
    </row>
    <row r="22" spans="1:7" ht="9" customHeight="1" x14ac:dyDescent="0.35">
      <c r="A22" s="52" t="s">
        <v>73</v>
      </c>
      <c r="B22" s="20">
        <v>696.72</v>
      </c>
      <c r="C22" s="21">
        <v>7913</v>
      </c>
      <c r="D22" s="22">
        <v>11.357503731771731</v>
      </c>
      <c r="E22" s="19"/>
      <c r="F22" s="27" t="s">
        <v>73</v>
      </c>
      <c r="G22" s="21">
        <v>3427</v>
      </c>
    </row>
    <row r="23" spans="1:7" ht="9" customHeight="1" x14ac:dyDescent="0.35">
      <c r="A23" s="52" t="s">
        <v>247</v>
      </c>
      <c r="B23" s="20">
        <v>561.61</v>
      </c>
      <c r="C23" s="21">
        <v>16722</v>
      </c>
      <c r="D23" s="22">
        <v>29.775110842043411</v>
      </c>
      <c r="E23" s="19"/>
      <c r="F23" s="28" t="s">
        <v>227</v>
      </c>
      <c r="G23" s="21">
        <v>3457</v>
      </c>
    </row>
    <row r="24" spans="1:7" ht="9" customHeight="1" x14ac:dyDescent="0.35">
      <c r="A24" s="55" t="s">
        <v>248</v>
      </c>
      <c r="B24" s="20">
        <v>528.66</v>
      </c>
      <c r="C24" s="21">
        <v>8942</v>
      </c>
      <c r="D24" s="22">
        <v>16.914462981878714</v>
      </c>
      <c r="E24" s="19"/>
      <c r="F24" s="18" t="s">
        <v>74</v>
      </c>
      <c r="G24" s="21">
        <v>3336</v>
      </c>
    </row>
    <row r="25" spans="1:7" ht="9" customHeight="1" x14ac:dyDescent="0.35">
      <c r="A25" s="52" t="s">
        <v>249</v>
      </c>
      <c r="B25" s="20">
        <v>3154.8</v>
      </c>
      <c r="C25" s="21">
        <v>32598</v>
      </c>
      <c r="D25" s="22">
        <v>10.332826169646253</v>
      </c>
      <c r="E25" s="19"/>
      <c r="F25" s="28" t="s">
        <v>181</v>
      </c>
      <c r="G25" s="21">
        <v>3401</v>
      </c>
    </row>
    <row r="26" spans="1:7" ht="9" customHeight="1" x14ac:dyDescent="0.35">
      <c r="A26" s="52" t="s">
        <v>75</v>
      </c>
      <c r="B26" s="20">
        <v>803.95</v>
      </c>
      <c r="C26" s="21">
        <v>46664</v>
      </c>
      <c r="D26" s="22">
        <v>58.0434106598669</v>
      </c>
      <c r="E26" s="19"/>
      <c r="F26" s="27" t="s">
        <v>75</v>
      </c>
      <c r="G26" s="21">
        <v>2632</v>
      </c>
    </row>
    <row r="27" spans="1:7" ht="9" customHeight="1" x14ac:dyDescent="0.35">
      <c r="A27" s="52" t="s">
        <v>250</v>
      </c>
      <c r="B27" s="20">
        <v>624.25</v>
      </c>
      <c r="C27" s="21">
        <v>21894</v>
      </c>
      <c r="D27" s="22">
        <v>35.072486984381257</v>
      </c>
      <c r="E27" s="19"/>
      <c r="F27" s="18" t="s">
        <v>76</v>
      </c>
      <c r="G27" s="21">
        <v>3079</v>
      </c>
    </row>
    <row r="28" spans="1:7" ht="9" customHeight="1" x14ac:dyDescent="0.35">
      <c r="A28" s="52" t="s">
        <v>221</v>
      </c>
      <c r="B28" s="20">
        <v>2261.0300000000002</v>
      </c>
      <c r="C28" s="21">
        <v>46518</v>
      </c>
      <c r="D28" s="22">
        <v>20.573809281610593</v>
      </c>
      <c r="E28" s="19"/>
      <c r="F28" s="27" t="s">
        <v>221</v>
      </c>
      <c r="G28" s="21">
        <v>45</v>
      </c>
    </row>
    <row r="29" spans="1:7" ht="9" customHeight="1" x14ac:dyDescent="0.35">
      <c r="A29" s="52" t="s">
        <v>77</v>
      </c>
      <c r="B29" s="20">
        <v>988.01</v>
      </c>
      <c r="C29" s="21">
        <v>8283</v>
      </c>
      <c r="D29" s="22">
        <v>8.3835183854414428</v>
      </c>
      <c r="E29" s="19"/>
      <c r="F29" s="27" t="s">
        <v>77</v>
      </c>
      <c r="G29" s="21">
        <v>3173</v>
      </c>
    </row>
    <row r="30" spans="1:7" ht="9" customHeight="1" x14ac:dyDescent="0.35">
      <c r="A30" s="52" t="s">
        <v>78</v>
      </c>
      <c r="B30" s="20">
        <v>2771.9</v>
      </c>
      <c r="C30" s="21">
        <v>63513</v>
      </c>
      <c r="D30" s="22">
        <v>22.913164255564773</v>
      </c>
      <c r="E30" s="19"/>
      <c r="F30" s="27" t="s">
        <v>78</v>
      </c>
      <c r="G30" s="21">
        <v>3110</v>
      </c>
    </row>
    <row r="31" spans="1:7" ht="9" customHeight="1" x14ac:dyDescent="0.35">
      <c r="A31" s="52" t="s">
        <v>222</v>
      </c>
      <c r="B31" s="20">
        <v>3908.42</v>
      </c>
      <c r="C31" s="21">
        <v>30232</v>
      </c>
      <c r="D31" s="22">
        <v>7.735095000025586</v>
      </c>
      <c r="E31" s="19"/>
      <c r="F31" s="27" t="s">
        <v>222</v>
      </c>
      <c r="G31" s="21">
        <v>12</v>
      </c>
    </row>
    <row r="32" spans="1:7" ht="9" customHeight="1" x14ac:dyDescent="0.35">
      <c r="A32" s="52" t="s">
        <v>251</v>
      </c>
      <c r="B32" s="20">
        <v>2292.7800000000002</v>
      </c>
      <c r="C32" s="21">
        <v>56222</v>
      </c>
      <c r="D32" s="22">
        <v>24.521323458857804</v>
      </c>
      <c r="E32" s="19"/>
      <c r="F32" s="18" t="s">
        <v>79</v>
      </c>
      <c r="G32" s="21">
        <v>2278</v>
      </c>
    </row>
    <row r="33" spans="1:7" ht="9" customHeight="1" x14ac:dyDescent="0.35">
      <c r="A33" s="52" t="s">
        <v>252</v>
      </c>
      <c r="B33" s="20">
        <v>730.58</v>
      </c>
      <c r="C33" s="21">
        <v>23848</v>
      </c>
      <c r="D33" s="22">
        <v>32.642557967642148</v>
      </c>
      <c r="E33" s="19"/>
      <c r="F33" s="18" t="s">
        <v>80</v>
      </c>
      <c r="G33" s="21">
        <v>3371</v>
      </c>
    </row>
    <row r="34" spans="1:7" ht="9" customHeight="1" x14ac:dyDescent="0.35">
      <c r="A34" s="52" t="s">
        <v>81</v>
      </c>
      <c r="B34" s="20">
        <v>1945.07</v>
      </c>
      <c r="C34" s="21">
        <v>10456</v>
      </c>
      <c r="D34" s="22">
        <v>5.3756420077426519</v>
      </c>
      <c r="E34" s="19"/>
      <c r="F34" s="27" t="s">
        <v>81</v>
      </c>
      <c r="G34" s="21">
        <v>3311</v>
      </c>
    </row>
    <row r="35" spans="1:7" ht="9" customHeight="1" x14ac:dyDescent="0.35">
      <c r="A35" s="52" t="s">
        <v>253</v>
      </c>
      <c r="B35" s="20">
        <v>2101.21</v>
      </c>
      <c r="C35" s="21">
        <v>30553</v>
      </c>
      <c r="D35" s="22">
        <v>14.540669423808186</v>
      </c>
      <c r="E35" s="19"/>
      <c r="F35" s="18" t="s">
        <v>82</v>
      </c>
      <c r="G35" s="21">
        <v>3231</v>
      </c>
    </row>
    <row r="36" spans="1:7" ht="9" customHeight="1" x14ac:dyDescent="0.35">
      <c r="A36" s="52" t="s">
        <v>83</v>
      </c>
      <c r="B36" s="20">
        <v>914.05</v>
      </c>
      <c r="C36" s="21">
        <v>29262</v>
      </c>
      <c r="D36" s="22">
        <v>32.013565997483731</v>
      </c>
      <c r="E36" s="19"/>
      <c r="F36" s="18" t="s">
        <v>83</v>
      </c>
      <c r="G36" s="21">
        <v>3057</v>
      </c>
    </row>
    <row r="37" spans="1:7" ht="9" customHeight="1" x14ac:dyDescent="0.35">
      <c r="A37" s="52" t="s">
        <v>84</v>
      </c>
      <c r="B37" s="20">
        <v>2304.19</v>
      </c>
      <c r="C37" s="21">
        <v>19459</v>
      </c>
      <c r="D37" s="22">
        <v>8.4450501043750723</v>
      </c>
      <c r="E37" s="19"/>
      <c r="F37" s="27" t="s">
        <v>84</v>
      </c>
      <c r="G37" s="21">
        <v>3398</v>
      </c>
    </row>
    <row r="38" spans="1:7" ht="9" customHeight="1" x14ac:dyDescent="0.35">
      <c r="A38" s="52" t="s">
        <v>254</v>
      </c>
      <c r="B38" s="20">
        <v>4004.99</v>
      </c>
      <c r="C38" s="21">
        <v>430925</v>
      </c>
      <c r="D38" s="22">
        <v>107.59702271416408</v>
      </c>
      <c r="E38" s="19"/>
      <c r="F38" s="18" t="s">
        <v>220</v>
      </c>
      <c r="G38" s="21">
        <v>13</v>
      </c>
    </row>
    <row r="39" spans="1:7" ht="9" customHeight="1" x14ac:dyDescent="0.35">
      <c r="A39" s="52" t="s">
        <v>85</v>
      </c>
      <c r="B39" s="20">
        <v>1455.97</v>
      </c>
      <c r="C39" s="21">
        <v>30852</v>
      </c>
      <c r="D39" s="22">
        <v>21.189997046642443</v>
      </c>
      <c r="E39" s="19"/>
      <c r="F39" s="27" t="s">
        <v>85</v>
      </c>
      <c r="G39" s="21">
        <v>2784</v>
      </c>
    </row>
    <row r="40" spans="1:7" ht="9" customHeight="1" x14ac:dyDescent="0.35">
      <c r="A40" s="52" t="s">
        <v>86</v>
      </c>
      <c r="B40" s="20">
        <v>1361.48</v>
      </c>
      <c r="C40" s="21">
        <v>58217</v>
      </c>
      <c r="D40" s="22">
        <v>42.760084613802626</v>
      </c>
      <c r="E40" s="19"/>
      <c r="F40" s="27" t="s">
        <v>86</v>
      </c>
      <c r="G40" s="21">
        <v>2463</v>
      </c>
    </row>
    <row r="41" spans="1:7" ht="9" customHeight="1" x14ac:dyDescent="0.35">
      <c r="A41" s="53" t="s">
        <v>22</v>
      </c>
      <c r="B41" s="14">
        <v>20895.79</v>
      </c>
      <c r="C41" s="15">
        <v>454324</v>
      </c>
      <c r="D41" s="16">
        <v>21.742370113788471</v>
      </c>
      <c r="E41" s="17"/>
      <c r="F41" s="18" t="s">
        <v>202</v>
      </c>
      <c r="G41" s="26"/>
    </row>
    <row r="42" spans="1:7" ht="9" customHeight="1" x14ac:dyDescent="0.35">
      <c r="A42" s="52" t="s">
        <v>9</v>
      </c>
      <c r="B42" s="20">
        <v>3447.13</v>
      </c>
      <c r="C42" s="21">
        <v>105901</v>
      </c>
      <c r="D42" s="22">
        <v>30.721498754035967</v>
      </c>
      <c r="E42" s="19"/>
      <c r="F42" s="12" t="s">
        <v>9</v>
      </c>
      <c r="G42" s="15">
        <v>2392</v>
      </c>
    </row>
    <row r="43" spans="1:7" ht="9" customHeight="1" x14ac:dyDescent="0.35">
      <c r="A43" s="52" t="s">
        <v>87</v>
      </c>
      <c r="B43" s="20">
        <v>3987</v>
      </c>
      <c r="C43" s="21">
        <v>165165</v>
      </c>
      <c r="D43" s="22">
        <v>41.425884123401055</v>
      </c>
      <c r="E43" s="19"/>
      <c r="F43" s="27" t="s">
        <v>87</v>
      </c>
      <c r="G43" s="21">
        <v>2901</v>
      </c>
    </row>
    <row r="44" spans="1:7" ht="9" customHeight="1" x14ac:dyDescent="0.35">
      <c r="A44" s="52" t="s">
        <v>88</v>
      </c>
      <c r="B44" s="20">
        <v>3219.01</v>
      </c>
      <c r="C44" s="21">
        <v>13403</v>
      </c>
      <c r="D44" s="22">
        <v>4.1637025048073788</v>
      </c>
      <c r="E44" s="19"/>
      <c r="F44" s="27" t="s">
        <v>88</v>
      </c>
      <c r="G44" s="21">
        <v>3640</v>
      </c>
    </row>
    <row r="45" spans="1:7" ht="9" customHeight="1" x14ac:dyDescent="0.35">
      <c r="A45" s="52" t="s">
        <v>255</v>
      </c>
      <c r="B45" s="20">
        <v>4213.07</v>
      </c>
      <c r="C45" s="21">
        <v>32823</v>
      </c>
      <c r="D45" s="22">
        <v>7.7907559095861219</v>
      </c>
      <c r="E45" s="19"/>
      <c r="F45" s="18" t="s">
        <v>89</v>
      </c>
      <c r="G45" s="21">
        <v>2911</v>
      </c>
    </row>
    <row r="46" spans="1:7" ht="9" customHeight="1" x14ac:dyDescent="0.35">
      <c r="A46" s="52" t="s">
        <v>256</v>
      </c>
      <c r="B46" s="20">
        <v>2612.73</v>
      </c>
      <c r="C46" s="21">
        <v>52047</v>
      </c>
      <c r="D46" s="22">
        <v>19.920542880435406</v>
      </c>
      <c r="E46" s="19"/>
      <c r="F46" s="18" t="s">
        <v>90</v>
      </c>
      <c r="G46" s="21">
        <v>3292</v>
      </c>
    </row>
    <row r="47" spans="1:7" ht="9" customHeight="1" x14ac:dyDescent="0.35">
      <c r="A47" s="52" t="s">
        <v>91</v>
      </c>
      <c r="B47" s="20">
        <v>1242.33</v>
      </c>
      <c r="C47" s="21">
        <v>58078</v>
      </c>
      <c r="D47" s="22">
        <v>46.74925341897886</v>
      </c>
      <c r="E47" s="19"/>
      <c r="F47" s="27" t="s">
        <v>91</v>
      </c>
      <c r="G47" s="21">
        <v>2795</v>
      </c>
    </row>
    <row r="48" spans="1:7" ht="9" customHeight="1" x14ac:dyDescent="0.35">
      <c r="A48" s="52" t="s">
        <v>257</v>
      </c>
      <c r="B48" s="20">
        <v>2174.52</v>
      </c>
      <c r="C48" s="21">
        <v>26907</v>
      </c>
      <c r="D48" s="22">
        <v>12.373765244743668</v>
      </c>
      <c r="E48" s="19"/>
      <c r="F48" s="18" t="s">
        <v>92</v>
      </c>
      <c r="G48" s="21">
        <v>3376</v>
      </c>
    </row>
    <row r="49" spans="1:7" ht="9" customHeight="1" x14ac:dyDescent="0.35">
      <c r="A49" s="53" t="s">
        <v>16</v>
      </c>
      <c r="B49" s="14">
        <v>63345.39</v>
      </c>
      <c r="C49" s="15">
        <v>1259162</v>
      </c>
      <c r="D49" s="16">
        <v>19.877721172764112</v>
      </c>
      <c r="E49" s="17"/>
      <c r="F49" s="18" t="s">
        <v>202</v>
      </c>
      <c r="G49" s="26"/>
    </row>
    <row r="50" spans="1:7" ht="9" customHeight="1" x14ac:dyDescent="0.35">
      <c r="A50" s="52" t="s">
        <v>210</v>
      </c>
      <c r="B50" s="20">
        <v>9682.02</v>
      </c>
      <c r="C50" s="21">
        <v>947384</v>
      </c>
      <c r="D50" s="22">
        <v>97.84982885802755</v>
      </c>
      <c r="E50" s="19"/>
      <c r="F50" s="12" t="s">
        <v>210</v>
      </c>
      <c r="G50" s="15">
        <v>2337</v>
      </c>
    </row>
    <row r="51" spans="1:7" ht="9" customHeight="1" x14ac:dyDescent="0.35">
      <c r="A51" s="55" t="s">
        <v>50</v>
      </c>
      <c r="B51" s="20">
        <v>3997.73</v>
      </c>
      <c r="C51" s="21">
        <v>57776</v>
      </c>
      <c r="D51" s="22">
        <v>14.452201624421859</v>
      </c>
      <c r="E51" s="19"/>
      <c r="F51" s="29" t="s">
        <v>50</v>
      </c>
      <c r="G51" s="21">
        <v>15</v>
      </c>
    </row>
    <row r="52" spans="1:7" ht="9" customHeight="1" x14ac:dyDescent="0.35">
      <c r="A52" s="55" t="s">
        <v>49</v>
      </c>
      <c r="B52" s="20">
        <v>13139.41</v>
      </c>
      <c r="C52" s="21">
        <v>39843</v>
      </c>
      <c r="D52" s="22">
        <v>3.0323279355770159</v>
      </c>
      <c r="E52" s="19"/>
      <c r="F52" s="29" t="s">
        <v>49</v>
      </c>
      <c r="G52" s="21">
        <v>1776</v>
      </c>
    </row>
    <row r="53" spans="1:7" ht="9" customHeight="1" x14ac:dyDescent="0.35">
      <c r="A53" s="52" t="s">
        <v>258</v>
      </c>
      <c r="B53" s="20">
        <v>6914.48</v>
      </c>
      <c r="C53" s="21">
        <v>38887</v>
      </c>
      <c r="D53" s="22">
        <v>5.6239948629542642</v>
      </c>
      <c r="E53" s="19"/>
      <c r="F53" s="18" t="s">
        <v>93</v>
      </c>
      <c r="G53" s="21">
        <v>631</v>
      </c>
    </row>
    <row r="54" spans="1:7" ht="9" customHeight="1" x14ac:dyDescent="0.35">
      <c r="A54" s="52" t="s">
        <v>259</v>
      </c>
      <c r="B54" s="20">
        <v>14019.46</v>
      </c>
      <c r="C54" s="21">
        <v>89042</v>
      </c>
      <c r="D54" s="22">
        <v>6.3513145299462321</v>
      </c>
      <c r="E54" s="19"/>
      <c r="F54" s="18" t="s">
        <v>94</v>
      </c>
      <c r="G54" s="21">
        <v>3632</v>
      </c>
    </row>
    <row r="55" spans="1:7" ht="9" customHeight="1" x14ac:dyDescent="0.35">
      <c r="A55" s="52" t="s">
        <v>260</v>
      </c>
      <c r="B55" s="20">
        <v>6958.4</v>
      </c>
      <c r="C55" s="21">
        <v>18340</v>
      </c>
      <c r="D55" s="22">
        <v>2.6356633708898598</v>
      </c>
      <c r="E55" s="19"/>
      <c r="F55" s="18" t="s">
        <v>95</v>
      </c>
      <c r="G55" s="21">
        <v>2935</v>
      </c>
    </row>
    <row r="56" spans="1:7" ht="9" customHeight="1" x14ac:dyDescent="0.35">
      <c r="A56" s="52" t="s">
        <v>261</v>
      </c>
      <c r="B56" s="20">
        <v>3886.03</v>
      </c>
      <c r="C56" s="21">
        <v>52914</v>
      </c>
      <c r="D56" s="22">
        <v>13.616467191452459</v>
      </c>
      <c r="E56" s="19"/>
      <c r="F56" s="18" t="s">
        <v>223</v>
      </c>
      <c r="G56" s="21">
        <v>52</v>
      </c>
    </row>
    <row r="57" spans="1:7" ht="9" customHeight="1" x14ac:dyDescent="0.35">
      <c r="A57" s="55" t="s">
        <v>187</v>
      </c>
      <c r="B57" s="20">
        <v>4746.3999999999996</v>
      </c>
      <c r="C57" s="21">
        <v>14976</v>
      </c>
      <c r="D57" s="22">
        <v>3.1552334400809037</v>
      </c>
      <c r="E57" s="19"/>
      <c r="F57" s="18" t="s">
        <v>96</v>
      </c>
      <c r="G57" s="21">
        <v>2675</v>
      </c>
    </row>
    <row r="58" spans="1:7" ht="4.5" customHeight="1" x14ac:dyDescent="0.35">
      <c r="A58" s="56"/>
      <c r="B58" s="67"/>
      <c r="C58" s="68"/>
      <c r="D58" s="68"/>
      <c r="E58" s="69"/>
      <c r="F58" s="70"/>
      <c r="G58" s="71"/>
    </row>
    <row r="59" spans="1:7" x14ac:dyDescent="0.35">
      <c r="A59" s="29"/>
      <c r="B59" s="22"/>
      <c r="C59" s="22"/>
      <c r="D59" s="22"/>
      <c r="E59" s="19"/>
      <c r="F59" s="18"/>
      <c r="G59" s="30" t="s">
        <v>230</v>
      </c>
    </row>
    <row r="60" spans="1:7" ht="10.5" customHeight="1" x14ac:dyDescent="0.35">
      <c r="A60" s="29"/>
      <c r="B60" s="22"/>
      <c r="C60" s="22"/>
      <c r="D60" s="22"/>
      <c r="E60" s="19"/>
      <c r="F60" s="18"/>
      <c r="G60" s="31"/>
    </row>
    <row r="61" spans="1:7" ht="10.5" customHeight="1" x14ac:dyDescent="0.35">
      <c r="A61" s="29"/>
      <c r="B61" s="22"/>
      <c r="C61" s="22"/>
      <c r="D61" s="22"/>
      <c r="E61" s="19"/>
      <c r="F61" s="18"/>
      <c r="G61" s="31"/>
    </row>
    <row r="62" spans="1:7" ht="10.5" customHeight="1" x14ac:dyDescent="0.35">
      <c r="A62" s="29"/>
      <c r="B62" s="22"/>
      <c r="C62" s="22"/>
      <c r="D62" s="22"/>
      <c r="E62" s="19"/>
      <c r="F62" s="18"/>
      <c r="G62" s="31"/>
    </row>
    <row r="63" spans="1:7" ht="10.5" customHeight="1" x14ac:dyDescent="0.35">
      <c r="A63" s="29"/>
      <c r="B63" s="22"/>
      <c r="C63" s="22"/>
      <c r="D63" s="22"/>
      <c r="E63" s="19"/>
      <c r="F63" s="18"/>
      <c r="G63" s="31"/>
    </row>
    <row r="64" spans="1:7" ht="11.35" x14ac:dyDescent="0.35">
      <c r="A64" s="1" t="s">
        <v>240</v>
      </c>
      <c r="B64" s="2"/>
      <c r="C64" s="2"/>
      <c r="D64" s="2"/>
      <c r="E64" s="2"/>
      <c r="F64" s="3"/>
    </row>
    <row r="65" spans="1:7" ht="11.35" x14ac:dyDescent="0.35">
      <c r="A65" s="6" t="s">
        <v>325</v>
      </c>
      <c r="B65" s="2"/>
      <c r="C65" s="2"/>
      <c r="D65" s="2"/>
      <c r="E65" s="2"/>
      <c r="F65" s="3"/>
    </row>
    <row r="66" spans="1:7" ht="4.5" customHeight="1" x14ac:dyDescent="0.35">
      <c r="A66" s="7" t="s">
        <v>202</v>
      </c>
      <c r="B66" s="8"/>
      <c r="C66" s="8"/>
      <c r="D66" s="8"/>
      <c r="E66" s="8"/>
    </row>
    <row r="67" spans="1:7" ht="10.5" customHeight="1" x14ac:dyDescent="0.35">
      <c r="A67" s="50"/>
      <c r="B67" s="57" t="s">
        <v>227</v>
      </c>
      <c r="C67" s="58"/>
      <c r="D67" s="59" t="s">
        <v>228</v>
      </c>
      <c r="E67" s="59"/>
      <c r="F67" s="78" t="s">
        <v>179</v>
      </c>
      <c r="G67" s="79"/>
    </row>
    <row r="68" spans="1:7" ht="9.6" customHeight="1" x14ac:dyDescent="0.35">
      <c r="A68" s="51" t="s">
        <v>55</v>
      </c>
      <c r="B68" s="60" t="s">
        <v>229</v>
      </c>
      <c r="C68" s="9" t="s">
        <v>238</v>
      </c>
      <c r="D68" s="10" t="s">
        <v>204</v>
      </c>
      <c r="E68" s="10"/>
      <c r="F68" s="11"/>
      <c r="G68" s="9" t="s">
        <v>0</v>
      </c>
    </row>
    <row r="69" spans="1:7" ht="9.6" customHeight="1" x14ac:dyDescent="0.35">
      <c r="A69" s="51" t="s">
        <v>60</v>
      </c>
      <c r="B69" s="61" t="s">
        <v>232</v>
      </c>
      <c r="C69" s="9" t="s">
        <v>323</v>
      </c>
      <c r="D69" s="9" t="s">
        <v>236</v>
      </c>
      <c r="E69" s="9"/>
      <c r="F69" s="12" t="s">
        <v>21</v>
      </c>
      <c r="G69" s="10" t="s">
        <v>208</v>
      </c>
    </row>
    <row r="70" spans="1:7" ht="9.6" customHeight="1" x14ac:dyDescent="0.35">
      <c r="A70" s="52"/>
      <c r="B70" s="61" t="s">
        <v>4</v>
      </c>
      <c r="C70" s="13" t="s">
        <v>326</v>
      </c>
      <c r="D70" s="9" t="s">
        <v>205</v>
      </c>
      <c r="E70" s="9"/>
      <c r="F70" s="11" t="s">
        <v>227</v>
      </c>
      <c r="G70" s="9" t="s">
        <v>209</v>
      </c>
    </row>
    <row r="71" spans="1:7" ht="9.6" customHeight="1" x14ac:dyDescent="0.35">
      <c r="A71" s="52"/>
      <c r="B71" s="61"/>
      <c r="C71" s="9" t="s">
        <v>239</v>
      </c>
      <c r="D71" s="9" t="s">
        <v>206</v>
      </c>
      <c r="E71" s="9"/>
      <c r="F71" s="11"/>
      <c r="G71" s="9" t="s">
        <v>207</v>
      </c>
    </row>
    <row r="72" spans="1:7" ht="9.6" customHeight="1" x14ac:dyDescent="0.35">
      <c r="A72" s="53"/>
      <c r="B72" s="62"/>
      <c r="C72" s="63"/>
      <c r="D72" s="64" t="s">
        <v>5</v>
      </c>
      <c r="E72" s="64"/>
      <c r="F72" s="65"/>
      <c r="G72" s="64" t="s">
        <v>231</v>
      </c>
    </row>
    <row r="73" spans="1:7" ht="3" customHeight="1" x14ac:dyDescent="0.35">
      <c r="A73" s="55"/>
      <c r="B73" s="22"/>
      <c r="C73" s="22"/>
      <c r="D73" s="22"/>
      <c r="E73" s="19"/>
      <c r="F73" s="18"/>
      <c r="G73" s="31"/>
    </row>
    <row r="74" spans="1:7" ht="9" customHeight="1" x14ac:dyDescent="0.35">
      <c r="A74" s="53" t="s">
        <v>61</v>
      </c>
      <c r="B74" s="14">
        <v>43814.8</v>
      </c>
      <c r="C74" s="15">
        <v>673609</v>
      </c>
      <c r="D74" s="16">
        <v>15.374006043619962</v>
      </c>
      <c r="E74" s="17"/>
      <c r="F74" s="18" t="s">
        <v>202</v>
      </c>
      <c r="G74" s="32"/>
    </row>
    <row r="75" spans="1:7" ht="9" customHeight="1" x14ac:dyDescent="0.35">
      <c r="A75" s="52" t="s">
        <v>262</v>
      </c>
      <c r="B75" s="20">
        <v>3061.83</v>
      </c>
      <c r="C75" s="21">
        <v>266390</v>
      </c>
      <c r="D75" s="22">
        <v>87.003524036278961</v>
      </c>
      <c r="E75" s="19"/>
      <c r="F75" s="23" t="s">
        <v>61</v>
      </c>
      <c r="G75" s="15">
        <v>2760</v>
      </c>
    </row>
    <row r="76" spans="1:7" ht="9" customHeight="1" x14ac:dyDescent="0.35">
      <c r="A76" s="52" t="s">
        <v>97</v>
      </c>
      <c r="B76" s="20">
        <v>1916.17</v>
      </c>
      <c r="C76" s="21">
        <v>34135</v>
      </c>
      <c r="D76" s="22">
        <v>17.814181413966402</v>
      </c>
      <c r="E76" s="19"/>
      <c r="F76" s="27" t="s">
        <v>97</v>
      </c>
      <c r="G76" s="21">
        <v>2570</v>
      </c>
    </row>
    <row r="77" spans="1:7" ht="9" customHeight="1" x14ac:dyDescent="0.35">
      <c r="A77" s="52" t="s">
        <v>98</v>
      </c>
      <c r="B77" s="20">
        <v>2862.33</v>
      </c>
      <c r="C77" s="21">
        <v>10430</v>
      </c>
      <c r="D77" s="22">
        <v>3.6438845276400698</v>
      </c>
      <c r="E77" s="19"/>
      <c r="F77" s="27" t="s">
        <v>98</v>
      </c>
      <c r="G77" s="21">
        <v>3422</v>
      </c>
    </row>
    <row r="78" spans="1:7" ht="9" customHeight="1" x14ac:dyDescent="0.35">
      <c r="A78" s="52" t="s">
        <v>99</v>
      </c>
      <c r="B78" s="20">
        <v>3886.03</v>
      </c>
      <c r="C78" s="21">
        <v>104588</v>
      </c>
      <c r="D78" s="22">
        <v>26.913842662048413</v>
      </c>
      <c r="E78" s="19"/>
      <c r="F78" s="27" t="s">
        <v>99</v>
      </c>
      <c r="G78" s="21">
        <v>2642</v>
      </c>
    </row>
    <row r="79" spans="1:7" ht="9" customHeight="1" x14ac:dyDescent="0.35">
      <c r="A79" s="52" t="s">
        <v>263</v>
      </c>
      <c r="B79" s="20">
        <v>4304.57</v>
      </c>
      <c r="C79" s="21">
        <v>87696</v>
      </c>
      <c r="D79" s="22">
        <v>20.372766617803869</v>
      </c>
      <c r="E79" s="19"/>
      <c r="F79" s="18" t="s">
        <v>100</v>
      </c>
      <c r="G79" s="21">
        <v>2647</v>
      </c>
    </row>
    <row r="80" spans="1:7" ht="9" customHeight="1" x14ac:dyDescent="0.35">
      <c r="A80" s="52" t="s">
        <v>264</v>
      </c>
      <c r="B80" s="20">
        <v>14494.64</v>
      </c>
      <c r="C80" s="21">
        <v>67462</v>
      </c>
      <c r="D80" s="22">
        <v>4.6542721999304568</v>
      </c>
      <c r="E80" s="19"/>
      <c r="F80" s="18" t="s">
        <v>101</v>
      </c>
      <c r="G80" s="21">
        <v>3221</v>
      </c>
    </row>
    <row r="81" spans="1:7" ht="9" customHeight="1" x14ac:dyDescent="0.35">
      <c r="A81" s="52" t="s">
        <v>265</v>
      </c>
      <c r="B81" s="20">
        <v>5968.32</v>
      </c>
      <c r="C81" s="21">
        <v>32432</v>
      </c>
      <c r="D81" s="22">
        <v>5.4340249852554825</v>
      </c>
      <c r="E81" s="19"/>
      <c r="F81" s="18" t="s">
        <v>102</v>
      </c>
      <c r="G81" s="21">
        <v>3178</v>
      </c>
    </row>
    <row r="82" spans="1:7" ht="9" customHeight="1" x14ac:dyDescent="0.35">
      <c r="A82" s="55" t="s">
        <v>266</v>
      </c>
      <c r="B82" s="20">
        <v>2096.92</v>
      </c>
      <c r="C82" s="21">
        <v>11018</v>
      </c>
      <c r="D82" s="22">
        <v>5.2543730805180928</v>
      </c>
      <c r="E82" s="19"/>
      <c r="F82" s="18" t="s">
        <v>103</v>
      </c>
      <c r="G82" s="21">
        <v>2518</v>
      </c>
    </row>
    <row r="83" spans="1:7" ht="9" customHeight="1" x14ac:dyDescent="0.35">
      <c r="A83" s="52" t="s">
        <v>267</v>
      </c>
      <c r="B83" s="20">
        <v>1785.64</v>
      </c>
      <c r="C83" s="21">
        <v>12170</v>
      </c>
      <c r="D83" s="22">
        <v>6.8154835241146028</v>
      </c>
      <c r="E83" s="19"/>
      <c r="F83" s="18" t="s">
        <v>104</v>
      </c>
      <c r="G83" s="21">
        <v>3508</v>
      </c>
    </row>
    <row r="84" spans="1:7" ht="9" customHeight="1" x14ac:dyDescent="0.35">
      <c r="A84" s="52" t="s">
        <v>268</v>
      </c>
      <c r="B84" s="20">
        <v>2260.19</v>
      </c>
      <c r="C84" s="21">
        <v>23940</v>
      </c>
      <c r="D84" s="22">
        <v>10.592029873594697</v>
      </c>
      <c r="E84" s="19"/>
      <c r="F84" s="18" t="s">
        <v>105</v>
      </c>
      <c r="G84" s="21">
        <v>3102</v>
      </c>
    </row>
    <row r="85" spans="1:7" ht="9" customHeight="1" x14ac:dyDescent="0.35">
      <c r="A85" s="55" t="s">
        <v>2</v>
      </c>
      <c r="B85" s="20">
        <v>1178.1600000000001</v>
      </c>
      <c r="C85" s="21">
        <v>23348</v>
      </c>
      <c r="D85" s="22">
        <v>19.817342296462279</v>
      </c>
      <c r="E85" s="19"/>
      <c r="F85" s="27" t="s">
        <v>2</v>
      </c>
      <c r="G85" s="21">
        <v>3482</v>
      </c>
    </row>
    <row r="86" spans="1:7" ht="9" customHeight="1" x14ac:dyDescent="0.35">
      <c r="A86" s="53" t="s">
        <v>10</v>
      </c>
      <c r="B86" s="14">
        <v>33317.54</v>
      </c>
      <c r="C86" s="15">
        <v>1519764</v>
      </c>
      <c r="D86" s="16">
        <v>45.614532165339938</v>
      </c>
      <c r="E86" s="17"/>
      <c r="F86" s="18" t="s">
        <v>202</v>
      </c>
      <c r="G86" s="26"/>
    </row>
    <row r="87" spans="1:7" ht="9" customHeight="1" x14ac:dyDescent="0.35">
      <c r="A87" s="52" t="s">
        <v>10</v>
      </c>
      <c r="B87" s="20">
        <v>2979.78</v>
      </c>
      <c r="C87" s="21">
        <v>375227</v>
      </c>
      <c r="D87" s="22">
        <v>125.92439710314183</v>
      </c>
      <c r="E87" s="19"/>
      <c r="F87" s="12" t="s">
        <v>10</v>
      </c>
      <c r="G87" s="15">
        <v>2719</v>
      </c>
    </row>
    <row r="88" spans="1:7" ht="9" customHeight="1" x14ac:dyDescent="0.35">
      <c r="A88" s="52" t="s">
        <v>106</v>
      </c>
      <c r="B88" s="20">
        <v>1807.64</v>
      </c>
      <c r="C88" s="21">
        <v>80182</v>
      </c>
      <c r="D88" s="22">
        <v>44.357283529906397</v>
      </c>
      <c r="E88" s="19"/>
      <c r="F88" s="27" t="s">
        <v>106</v>
      </c>
      <c r="G88" s="21">
        <v>2651</v>
      </c>
    </row>
    <row r="89" spans="1:7" ht="9" customHeight="1" x14ac:dyDescent="0.35">
      <c r="A89" s="55" t="s">
        <v>182</v>
      </c>
      <c r="B89" s="20">
        <v>2641.59</v>
      </c>
      <c r="C89" s="21">
        <v>95550</v>
      </c>
      <c r="D89" s="22">
        <v>36.171396772398438</v>
      </c>
      <c r="E89" s="19"/>
      <c r="F89" s="29" t="s">
        <v>182</v>
      </c>
      <c r="G89" s="21">
        <v>2645</v>
      </c>
    </row>
    <row r="90" spans="1:7" ht="9" customHeight="1" x14ac:dyDescent="0.35">
      <c r="A90" s="52" t="s">
        <v>107</v>
      </c>
      <c r="B90" s="20">
        <v>3795.1</v>
      </c>
      <c r="C90" s="21">
        <v>166757</v>
      </c>
      <c r="D90" s="22">
        <v>43.940080630286424</v>
      </c>
      <c r="E90" s="19"/>
      <c r="F90" s="27" t="s">
        <v>107</v>
      </c>
      <c r="G90" s="21">
        <v>2387</v>
      </c>
    </row>
    <row r="91" spans="1:7" ht="9" customHeight="1" x14ac:dyDescent="0.35">
      <c r="A91" s="55" t="s">
        <v>183</v>
      </c>
      <c r="B91" s="20">
        <v>2070.33</v>
      </c>
      <c r="C91" s="21">
        <v>32385</v>
      </c>
      <c r="D91" s="22">
        <v>15.642433814899075</v>
      </c>
      <c r="E91" s="19"/>
      <c r="F91" s="29" t="s">
        <v>183</v>
      </c>
      <c r="G91" s="21">
        <v>2647</v>
      </c>
    </row>
    <row r="92" spans="1:7" ht="9" customHeight="1" x14ac:dyDescent="0.35">
      <c r="A92" s="52" t="s">
        <v>108</v>
      </c>
      <c r="B92" s="20">
        <v>3028.46</v>
      </c>
      <c r="C92" s="21">
        <v>142716</v>
      </c>
      <c r="D92" s="22">
        <v>47.124941389353005</v>
      </c>
      <c r="E92" s="19"/>
      <c r="F92" s="27" t="s">
        <v>108</v>
      </c>
      <c r="G92" s="21">
        <v>2628</v>
      </c>
    </row>
    <row r="93" spans="1:7" ht="9" customHeight="1" x14ac:dyDescent="0.35">
      <c r="A93" s="52" t="s">
        <v>269</v>
      </c>
      <c r="B93" s="20">
        <v>777.15</v>
      </c>
      <c r="C93" s="21">
        <v>100822</v>
      </c>
      <c r="D93" s="22">
        <v>129.73299877758478</v>
      </c>
      <c r="E93" s="19"/>
      <c r="F93" s="18" t="s">
        <v>109</v>
      </c>
      <c r="G93" s="21">
        <v>2580</v>
      </c>
    </row>
    <row r="94" spans="1:7" ht="9" customHeight="1" x14ac:dyDescent="0.35">
      <c r="A94" s="52" t="s">
        <v>184</v>
      </c>
      <c r="B94" s="20">
        <v>5232.57</v>
      </c>
      <c r="C94" s="21">
        <v>198661</v>
      </c>
      <c r="D94" s="22">
        <v>37.966238387637432</v>
      </c>
      <c r="E94" s="19"/>
      <c r="F94" s="29" t="s">
        <v>184</v>
      </c>
      <c r="G94" s="21">
        <v>753</v>
      </c>
    </row>
    <row r="95" spans="1:7" ht="9" customHeight="1" x14ac:dyDescent="0.35">
      <c r="A95" s="52" t="s">
        <v>110</v>
      </c>
      <c r="B95" s="20">
        <v>4990.3</v>
      </c>
      <c r="C95" s="21">
        <v>146502</v>
      </c>
      <c r="D95" s="22">
        <v>29.357353265334748</v>
      </c>
      <c r="E95" s="19"/>
      <c r="F95" s="27" t="s">
        <v>110</v>
      </c>
      <c r="G95" s="21">
        <v>1303</v>
      </c>
    </row>
    <row r="96" spans="1:7" ht="9" customHeight="1" x14ac:dyDescent="0.35">
      <c r="A96" s="52" t="s">
        <v>111</v>
      </c>
      <c r="B96" s="20">
        <v>1362.32</v>
      </c>
      <c r="C96" s="21">
        <v>54602</v>
      </c>
      <c r="D96" s="22">
        <v>40.080157378589469</v>
      </c>
      <c r="E96" s="19"/>
      <c r="F96" s="27" t="s">
        <v>111</v>
      </c>
      <c r="G96" s="21">
        <v>2252</v>
      </c>
    </row>
    <row r="97" spans="1:7" ht="9" customHeight="1" x14ac:dyDescent="0.35">
      <c r="A97" s="52" t="s">
        <v>100</v>
      </c>
      <c r="B97" s="20">
        <v>2542.08</v>
      </c>
      <c r="C97" s="21">
        <v>56931</v>
      </c>
      <c r="D97" s="22">
        <v>22.395439954682779</v>
      </c>
      <c r="E97" s="19"/>
      <c r="F97" s="29" t="s">
        <v>185</v>
      </c>
      <c r="G97" s="21">
        <v>2659</v>
      </c>
    </row>
    <row r="98" spans="1:7" ht="9" customHeight="1" x14ac:dyDescent="0.35">
      <c r="A98" s="52" t="s">
        <v>112</v>
      </c>
      <c r="B98" s="20">
        <v>672.29</v>
      </c>
      <c r="C98" s="21">
        <v>23698</v>
      </c>
      <c r="D98" s="22">
        <v>35.249669041633823</v>
      </c>
      <c r="E98" s="19"/>
      <c r="F98" s="27" t="s">
        <v>112</v>
      </c>
      <c r="G98" s="21">
        <v>2381</v>
      </c>
    </row>
    <row r="99" spans="1:7" ht="9" customHeight="1" x14ac:dyDescent="0.35">
      <c r="A99" s="52" t="s">
        <v>270</v>
      </c>
      <c r="B99" s="20">
        <v>1417.93</v>
      </c>
      <c r="C99" s="21">
        <v>45731</v>
      </c>
      <c r="D99" s="22">
        <v>32.251944736341002</v>
      </c>
      <c r="E99" s="19"/>
      <c r="F99" s="29" t="s">
        <v>54</v>
      </c>
      <c r="G99" s="21">
        <v>2034</v>
      </c>
    </row>
    <row r="100" spans="1:7" ht="9" customHeight="1" x14ac:dyDescent="0.35">
      <c r="A100" s="53" t="s">
        <v>62</v>
      </c>
      <c r="B100" s="16">
        <v>146.97999999999999</v>
      </c>
      <c r="C100" s="15">
        <v>982800</v>
      </c>
      <c r="D100" s="33">
        <v>6686.6240304803378</v>
      </c>
      <c r="E100" s="5"/>
      <c r="G100" s="5"/>
    </row>
    <row r="101" spans="1:7" ht="9" customHeight="1" x14ac:dyDescent="0.35">
      <c r="A101" s="52" t="s">
        <v>271</v>
      </c>
      <c r="B101" s="22">
        <v>146.97999999999999</v>
      </c>
      <c r="C101" s="21">
        <v>982800</v>
      </c>
      <c r="D101" s="34">
        <v>6686.6240304803378</v>
      </c>
      <c r="E101" s="19"/>
      <c r="F101" s="23" t="s">
        <v>224</v>
      </c>
      <c r="G101" s="21">
        <v>3</v>
      </c>
    </row>
    <row r="102" spans="1:7" ht="9" customHeight="1" x14ac:dyDescent="0.35">
      <c r="A102" s="53" t="s">
        <v>11</v>
      </c>
      <c r="B102" s="14">
        <v>71986.5</v>
      </c>
      <c r="C102" s="15">
        <v>1300609</v>
      </c>
      <c r="D102" s="16">
        <v>18.067401526675141</v>
      </c>
      <c r="E102" s="17"/>
      <c r="F102" s="18" t="s">
        <v>202</v>
      </c>
      <c r="G102" s="26"/>
    </row>
    <row r="103" spans="1:7" ht="9" customHeight="1" x14ac:dyDescent="0.35">
      <c r="A103" s="52" t="s">
        <v>11</v>
      </c>
      <c r="B103" s="20">
        <v>617</v>
      </c>
      <c r="C103" s="21">
        <v>435114</v>
      </c>
      <c r="D103" s="22">
        <v>705.20907617504054</v>
      </c>
      <c r="E103" s="19"/>
      <c r="F103" s="12" t="s">
        <v>11</v>
      </c>
      <c r="G103" s="15">
        <v>3414</v>
      </c>
    </row>
    <row r="104" spans="1:7" ht="9" customHeight="1" x14ac:dyDescent="0.35">
      <c r="A104" s="52" t="s">
        <v>113</v>
      </c>
      <c r="B104" s="20">
        <v>948.22</v>
      </c>
      <c r="C104" s="21">
        <v>28116</v>
      </c>
      <c r="D104" s="22">
        <v>29.651346733880324</v>
      </c>
      <c r="E104" s="19"/>
      <c r="F104" s="27" t="s">
        <v>113</v>
      </c>
      <c r="G104" s="21">
        <v>3221</v>
      </c>
    </row>
    <row r="105" spans="1:7" ht="9" customHeight="1" x14ac:dyDescent="0.35">
      <c r="A105" s="52" t="s">
        <v>114</v>
      </c>
      <c r="B105" s="20">
        <v>1876.12</v>
      </c>
      <c r="C105" s="21">
        <v>56957</v>
      </c>
      <c r="D105" s="22">
        <v>30.358932264460698</v>
      </c>
      <c r="E105" s="19"/>
      <c r="F105" s="27" t="s">
        <v>114</v>
      </c>
      <c r="G105" s="21">
        <v>3345</v>
      </c>
    </row>
    <row r="106" spans="1:7" ht="9" customHeight="1" x14ac:dyDescent="0.35">
      <c r="A106" s="52" t="s">
        <v>115</v>
      </c>
      <c r="B106" s="20">
        <v>4414.49</v>
      </c>
      <c r="C106" s="21">
        <v>73137</v>
      </c>
      <c r="D106" s="22">
        <v>16.567485711826283</v>
      </c>
      <c r="E106" s="19"/>
      <c r="F106" s="27" t="s">
        <v>115</v>
      </c>
      <c r="G106" s="21">
        <v>2925</v>
      </c>
    </row>
    <row r="107" spans="1:7" ht="9" customHeight="1" x14ac:dyDescent="0.35">
      <c r="A107" s="52" t="s">
        <v>272</v>
      </c>
      <c r="B107" s="20">
        <v>2103.7600000000002</v>
      </c>
      <c r="C107" s="21">
        <v>39757</v>
      </c>
      <c r="D107" s="22">
        <v>18.898068220709586</v>
      </c>
      <c r="E107" s="19"/>
      <c r="F107" s="18" t="s">
        <v>116</v>
      </c>
      <c r="G107" s="21">
        <v>3910</v>
      </c>
    </row>
    <row r="108" spans="1:7" ht="9" customHeight="1" x14ac:dyDescent="0.35">
      <c r="A108" s="52" t="s">
        <v>273</v>
      </c>
      <c r="B108" s="20">
        <v>3999.27</v>
      </c>
      <c r="C108" s="21">
        <v>102630</v>
      </c>
      <c r="D108" s="22">
        <v>25.662183348461095</v>
      </c>
      <c r="E108" s="19"/>
      <c r="F108" s="18" t="s">
        <v>117</v>
      </c>
      <c r="G108" s="21">
        <v>3546</v>
      </c>
    </row>
    <row r="109" spans="1:7" ht="9" customHeight="1" x14ac:dyDescent="0.35">
      <c r="A109" s="52" t="s">
        <v>274</v>
      </c>
      <c r="B109" s="20">
        <v>5371.08</v>
      </c>
      <c r="C109" s="21">
        <v>82078</v>
      </c>
      <c r="D109" s="22">
        <v>15.28147039329148</v>
      </c>
      <c r="E109" s="19"/>
      <c r="F109" s="28" t="s">
        <v>186</v>
      </c>
      <c r="G109" s="21">
        <v>3678</v>
      </c>
    </row>
    <row r="110" spans="1:7" ht="9" customHeight="1" x14ac:dyDescent="0.35">
      <c r="A110" s="52" t="s">
        <v>118</v>
      </c>
      <c r="B110" s="20">
        <v>5311.09</v>
      </c>
      <c r="C110" s="21">
        <v>68660</v>
      </c>
      <c r="D110" s="22">
        <v>12.927666448883373</v>
      </c>
      <c r="E110" s="19"/>
      <c r="F110" s="27" t="s">
        <v>118</v>
      </c>
      <c r="G110" s="21">
        <v>3924</v>
      </c>
    </row>
    <row r="111" spans="1:7" ht="9" customHeight="1" x14ac:dyDescent="0.35">
      <c r="A111" s="55" t="s">
        <v>275</v>
      </c>
      <c r="B111" s="20">
        <v>30061.82</v>
      </c>
      <c r="C111" s="21">
        <v>179670</v>
      </c>
      <c r="D111" s="22">
        <v>5.9766840464083675</v>
      </c>
      <c r="E111" s="19"/>
      <c r="F111" s="18" t="s">
        <v>119</v>
      </c>
      <c r="G111" s="21">
        <v>1063</v>
      </c>
    </row>
    <row r="112" spans="1:7" ht="9" customHeight="1" x14ac:dyDescent="0.35">
      <c r="A112" s="52" t="s">
        <v>120</v>
      </c>
      <c r="B112" s="20">
        <v>1984.42</v>
      </c>
      <c r="C112" s="21">
        <v>31186</v>
      </c>
      <c r="D112" s="22">
        <v>15.715423146309753</v>
      </c>
      <c r="E112" s="19"/>
      <c r="F112" s="27" t="s">
        <v>120</v>
      </c>
      <c r="G112" s="21">
        <v>3068</v>
      </c>
    </row>
    <row r="113" spans="1:7" ht="9" customHeight="1" x14ac:dyDescent="0.35">
      <c r="A113" s="52" t="s">
        <v>121</v>
      </c>
      <c r="B113" s="20">
        <v>6295.01</v>
      </c>
      <c r="C113" s="21">
        <v>50582</v>
      </c>
      <c r="D113" s="22">
        <v>8.0352533196928988</v>
      </c>
      <c r="E113" s="19"/>
      <c r="F113" s="27" t="s">
        <v>121</v>
      </c>
      <c r="G113" s="21">
        <v>3005</v>
      </c>
    </row>
    <row r="114" spans="1:7" ht="9" customHeight="1" x14ac:dyDescent="0.35">
      <c r="A114" s="52" t="s">
        <v>276</v>
      </c>
      <c r="B114" s="20">
        <v>7564.79</v>
      </c>
      <c r="C114" s="21">
        <v>89175</v>
      </c>
      <c r="D114" s="22">
        <v>11.788165963628865</v>
      </c>
      <c r="E114" s="19"/>
      <c r="F114" s="18" t="s">
        <v>122</v>
      </c>
      <c r="G114" s="21">
        <v>3158</v>
      </c>
    </row>
    <row r="115" spans="1:7" ht="9" customHeight="1" x14ac:dyDescent="0.35">
      <c r="A115" s="52" t="s">
        <v>123</v>
      </c>
      <c r="B115" s="20">
        <v>1439.43</v>
      </c>
      <c r="C115" s="21">
        <v>63547</v>
      </c>
      <c r="D115" s="22">
        <v>44.147336098316693</v>
      </c>
      <c r="E115" s="19"/>
      <c r="F115" s="27" t="s">
        <v>123</v>
      </c>
      <c r="G115" s="21">
        <v>2869</v>
      </c>
    </row>
    <row r="116" spans="1:7" ht="9" customHeight="1" x14ac:dyDescent="0.35">
      <c r="A116" s="53" t="s">
        <v>12</v>
      </c>
      <c r="B116" s="14">
        <v>22131.47</v>
      </c>
      <c r="C116" s="15">
        <v>487472</v>
      </c>
      <c r="D116" s="16">
        <v>22.026191662822214</v>
      </c>
      <c r="E116" s="17"/>
      <c r="F116" s="18" t="s">
        <v>202</v>
      </c>
      <c r="G116" s="26"/>
    </row>
    <row r="117" spans="1:7" ht="9" customHeight="1" x14ac:dyDescent="0.35">
      <c r="A117" s="52" t="s">
        <v>12</v>
      </c>
      <c r="B117" s="20">
        <v>4215.5600000000004</v>
      </c>
      <c r="C117" s="21">
        <v>155418</v>
      </c>
      <c r="D117" s="22">
        <v>36.867699665050431</v>
      </c>
      <c r="E117" s="19"/>
      <c r="F117" s="12" t="s">
        <v>12</v>
      </c>
      <c r="G117" s="15">
        <v>3679</v>
      </c>
    </row>
    <row r="118" spans="1:7" ht="9" customHeight="1" x14ac:dyDescent="0.35">
      <c r="A118" s="52" t="s">
        <v>124</v>
      </c>
      <c r="B118" s="20">
        <v>910.82</v>
      </c>
      <c r="C118" s="21">
        <v>75026</v>
      </c>
      <c r="D118" s="22">
        <v>82.37192859181836</v>
      </c>
      <c r="E118" s="19"/>
      <c r="F118" s="27" t="s">
        <v>124</v>
      </c>
      <c r="G118" s="21">
        <v>3431</v>
      </c>
    </row>
    <row r="119" spans="1:7" ht="9" customHeight="1" x14ac:dyDescent="0.35">
      <c r="A119" s="52" t="s">
        <v>277</v>
      </c>
      <c r="B119" s="20">
        <v>1959.03</v>
      </c>
      <c r="C119" s="21">
        <v>61639</v>
      </c>
      <c r="D119" s="22">
        <v>31.464040877372987</v>
      </c>
      <c r="E119" s="19"/>
      <c r="F119" s="18" t="s">
        <v>125</v>
      </c>
      <c r="G119" s="21">
        <v>3271</v>
      </c>
    </row>
    <row r="120" spans="1:7" ht="9" customHeight="1" x14ac:dyDescent="0.35">
      <c r="A120" s="52" t="s">
        <v>126</v>
      </c>
      <c r="B120" s="20">
        <v>3984.62</v>
      </c>
      <c r="C120" s="21">
        <v>19396</v>
      </c>
      <c r="D120" s="22">
        <v>4.8677163694404992</v>
      </c>
      <c r="E120" s="19"/>
      <c r="F120" s="27" t="s">
        <v>126</v>
      </c>
      <c r="G120" s="21">
        <v>3958</v>
      </c>
    </row>
    <row r="121" spans="1:7" ht="9" customHeight="1" x14ac:dyDescent="0.35">
      <c r="A121" s="52" t="s">
        <v>127</v>
      </c>
      <c r="B121" s="20">
        <v>1218.42</v>
      </c>
      <c r="C121" s="21">
        <v>44989</v>
      </c>
      <c r="D121" s="22">
        <v>36.924049178444214</v>
      </c>
      <c r="E121" s="19"/>
      <c r="F121" s="27" t="s">
        <v>127</v>
      </c>
      <c r="G121" s="21">
        <v>3275</v>
      </c>
    </row>
    <row r="122" spans="1:7" ht="9" customHeight="1" x14ac:dyDescent="0.35">
      <c r="A122" s="55" t="s">
        <v>53</v>
      </c>
      <c r="B122" s="20">
        <v>6458.39</v>
      </c>
      <c r="C122" s="21">
        <v>23254</v>
      </c>
      <c r="D122" s="22">
        <v>3.6005877625847926</v>
      </c>
      <c r="E122" s="19"/>
      <c r="F122" s="29" t="s">
        <v>53</v>
      </c>
      <c r="G122" s="21">
        <v>2712</v>
      </c>
    </row>
    <row r="123" spans="1:7" ht="9" customHeight="1" x14ac:dyDescent="0.35">
      <c r="A123" s="52" t="s">
        <v>278</v>
      </c>
      <c r="B123" s="72">
        <v>3384.63</v>
      </c>
      <c r="C123" s="21">
        <v>107750</v>
      </c>
      <c r="D123" s="22">
        <v>31.835089803021305</v>
      </c>
      <c r="E123" s="19"/>
      <c r="F123" s="18" t="s">
        <v>128</v>
      </c>
      <c r="G123" s="21">
        <v>3251</v>
      </c>
    </row>
    <row r="124" spans="1:7" ht="3" customHeight="1" x14ac:dyDescent="0.35">
      <c r="A124" s="56"/>
      <c r="B124" s="67"/>
      <c r="C124" s="68"/>
      <c r="D124" s="68"/>
      <c r="E124" s="69"/>
      <c r="F124" s="70"/>
      <c r="G124" s="71"/>
    </row>
    <row r="125" spans="1:7" x14ac:dyDescent="0.35">
      <c r="B125" s="22"/>
      <c r="C125" s="22"/>
      <c r="D125" s="22"/>
      <c r="E125" s="19"/>
      <c r="F125" s="18"/>
      <c r="G125" s="30" t="s">
        <v>230</v>
      </c>
    </row>
    <row r="126" spans="1:7" x14ac:dyDescent="0.35">
      <c r="B126" s="22"/>
      <c r="C126" s="22"/>
      <c r="D126" s="22"/>
      <c r="E126" s="19"/>
      <c r="F126" s="18"/>
      <c r="G126" s="31"/>
    </row>
    <row r="127" spans="1:7" x14ac:dyDescent="0.35">
      <c r="B127" s="22"/>
      <c r="C127" s="22"/>
      <c r="D127" s="22"/>
      <c r="E127" s="19"/>
      <c r="F127" s="18"/>
      <c r="G127" s="31"/>
    </row>
    <row r="128" spans="1:7" x14ac:dyDescent="0.35">
      <c r="B128" s="22"/>
      <c r="C128" s="22"/>
      <c r="D128" s="22"/>
      <c r="E128" s="19"/>
      <c r="F128" s="18"/>
      <c r="G128" s="31"/>
    </row>
    <row r="129" spans="1:7" ht="11.35" x14ac:dyDescent="0.35">
      <c r="A129" s="1" t="s">
        <v>240</v>
      </c>
      <c r="B129" s="35"/>
      <c r="C129" s="35"/>
      <c r="D129" s="35"/>
      <c r="E129" s="35"/>
      <c r="F129" s="36"/>
      <c r="G129" s="37"/>
    </row>
    <row r="130" spans="1:7" ht="11.35" x14ac:dyDescent="0.35">
      <c r="A130" s="6" t="s">
        <v>325</v>
      </c>
      <c r="B130" s="35"/>
      <c r="C130" s="35"/>
      <c r="D130" s="35"/>
      <c r="E130" s="35"/>
      <c r="F130" s="36"/>
      <c r="G130" s="37"/>
    </row>
    <row r="131" spans="1:7" ht="4.5" customHeight="1" x14ac:dyDescent="0.35">
      <c r="A131" s="7" t="s">
        <v>202</v>
      </c>
      <c r="B131" s="8"/>
      <c r="C131" s="8"/>
      <c r="D131" s="8"/>
      <c r="E131" s="8"/>
    </row>
    <row r="132" spans="1:7" ht="12.75" customHeight="1" x14ac:dyDescent="0.35">
      <c r="A132" s="50"/>
      <c r="B132" s="57" t="s">
        <v>227</v>
      </c>
      <c r="C132" s="58"/>
      <c r="D132" s="59" t="s">
        <v>228</v>
      </c>
      <c r="E132" s="59"/>
      <c r="F132" s="78" t="s">
        <v>179</v>
      </c>
      <c r="G132" s="79"/>
    </row>
    <row r="133" spans="1:7" ht="9.6" customHeight="1" x14ac:dyDescent="0.35">
      <c r="A133" s="51" t="s">
        <v>55</v>
      </c>
      <c r="B133" s="60" t="s">
        <v>229</v>
      </c>
      <c r="C133" s="9" t="s">
        <v>238</v>
      </c>
      <c r="D133" s="10" t="s">
        <v>204</v>
      </c>
      <c r="E133" s="10"/>
      <c r="F133" s="11"/>
      <c r="G133" s="9" t="s">
        <v>0</v>
      </c>
    </row>
    <row r="134" spans="1:7" ht="9.6" customHeight="1" x14ac:dyDescent="0.35">
      <c r="A134" s="51" t="s">
        <v>60</v>
      </c>
      <c r="B134" s="61" t="s">
        <v>232</v>
      </c>
      <c r="C134" s="9" t="s">
        <v>323</v>
      </c>
      <c r="D134" s="9" t="s">
        <v>236</v>
      </c>
      <c r="E134" s="9"/>
      <c r="F134" s="12" t="s">
        <v>21</v>
      </c>
      <c r="G134" s="10" t="s">
        <v>208</v>
      </c>
    </row>
    <row r="135" spans="1:7" ht="9.6" customHeight="1" x14ac:dyDescent="0.35">
      <c r="A135" s="52"/>
      <c r="B135" s="61" t="s">
        <v>4</v>
      </c>
      <c r="C135" s="13" t="s">
        <v>326</v>
      </c>
      <c r="D135" s="9" t="s">
        <v>205</v>
      </c>
      <c r="E135" s="9"/>
      <c r="F135" s="11" t="s">
        <v>227</v>
      </c>
      <c r="G135" s="9" t="s">
        <v>209</v>
      </c>
    </row>
    <row r="136" spans="1:7" ht="9.6" customHeight="1" x14ac:dyDescent="0.35">
      <c r="A136" s="52"/>
      <c r="B136" s="61"/>
      <c r="C136" s="9" t="s">
        <v>239</v>
      </c>
      <c r="D136" s="9" t="s">
        <v>206</v>
      </c>
      <c r="E136" s="9"/>
      <c r="F136" s="11"/>
      <c r="G136" s="9" t="s">
        <v>207</v>
      </c>
    </row>
    <row r="137" spans="1:7" ht="9.6" customHeight="1" x14ac:dyDescent="0.35">
      <c r="A137" s="53"/>
      <c r="B137" s="62"/>
      <c r="C137" s="63"/>
      <c r="D137" s="64" t="s">
        <v>5</v>
      </c>
      <c r="E137" s="64"/>
      <c r="F137" s="65"/>
      <c r="G137" s="64" t="s">
        <v>231</v>
      </c>
    </row>
    <row r="138" spans="1:7" ht="4.5" customHeight="1" x14ac:dyDescent="0.35">
      <c r="A138" s="52"/>
      <c r="B138" s="22"/>
      <c r="C138" s="22"/>
      <c r="D138" s="22"/>
      <c r="E138" s="19"/>
      <c r="F138" s="18"/>
      <c r="G138" s="31"/>
    </row>
    <row r="139" spans="1:7" ht="9" customHeight="1" x14ac:dyDescent="0.35">
      <c r="A139" s="53" t="s">
        <v>23</v>
      </c>
      <c r="B139" s="14">
        <v>37021.47</v>
      </c>
      <c r="C139" s="15">
        <v>847714</v>
      </c>
      <c r="D139" s="16">
        <v>22.897902217280944</v>
      </c>
      <c r="E139" s="17"/>
      <c r="F139" s="18" t="s">
        <v>202</v>
      </c>
      <c r="G139" s="32"/>
    </row>
    <row r="140" spans="1:7" ht="9" customHeight="1" x14ac:dyDescent="0.35">
      <c r="A140" s="55" t="s">
        <v>23</v>
      </c>
      <c r="B140" s="20">
        <v>3591.59</v>
      </c>
      <c r="C140" s="21">
        <v>304487</v>
      </c>
      <c r="D140" s="22">
        <v>84.777772518578118</v>
      </c>
      <c r="E140" s="19"/>
      <c r="F140" s="23" t="s">
        <v>23</v>
      </c>
      <c r="G140" s="15">
        <v>1898</v>
      </c>
    </row>
    <row r="141" spans="1:7" ht="9" customHeight="1" x14ac:dyDescent="0.35">
      <c r="A141" s="52" t="s">
        <v>129</v>
      </c>
      <c r="B141" s="20">
        <v>1575.18</v>
      </c>
      <c r="C141" s="21">
        <v>57737</v>
      </c>
      <c r="D141" s="22">
        <v>36.65422364428192</v>
      </c>
      <c r="E141" s="19"/>
      <c r="F141" s="27" t="s">
        <v>129</v>
      </c>
      <c r="G141" s="21">
        <v>2076</v>
      </c>
    </row>
    <row r="142" spans="1:7" ht="9" customHeight="1" x14ac:dyDescent="0.35">
      <c r="A142" s="55" t="s">
        <v>279</v>
      </c>
      <c r="B142" s="20">
        <v>1468.07</v>
      </c>
      <c r="C142" s="21">
        <v>52473</v>
      </c>
      <c r="D142" s="22">
        <v>35.742846049575292</v>
      </c>
      <c r="E142" s="19"/>
      <c r="F142" s="28" t="s">
        <v>187</v>
      </c>
      <c r="G142" s="21">
        <v>3210</v>
      </c>
    </row>
    <row r="143" spans="1:7" ht="9" customHeight="1" x14ac:dyDescent="0.35">
      <c r="A143" s="52" t="s">
        <v>130</v>
      </c>
      <c r="B143" s="20">
        <v>1743.7</v>
      </c>
      <c r="C143" s="21">
        <v>22557</v>
      </c>
      <c r="D143" s="22">
        <v>12.936284911395308</v>
      </c>
      <c r="E143" s="19"/>
      <c r="F143" s="27" t="s">
        <v>130</v>
      </c>
      <c r="G143" s="21">
        <v>3191</v>
      </c>
    </row>
    <row r="144" spans="1:7" ht="9" customHeight="1" x14ac:dyDescent="0.35">
      <c r="A144" s="55" t="s">
        <v>280</v>
      </c>
      <c r="B144" s="20">
        <v>3144.5</v>
      </c>
      <c r="C144" s="21">
        <v>74269</v>
      </c>
      <c r="D144" s="22">
        <v>23.618699316266497</v>
      </c>
      <c r="E144" s="19"/>
      <c r="F144" s="18" t="s">
        <v>131</v>
      </c>
      <c r="G144" s="21">
        <v>3436</v>
      </c>
    </row>
    <row r="145" spans="1:7" ht="9" customHeight="1" x14ac:dyDescent="0.35">
      <c r="A145" s="52" t="s">
        <v>281</v>
      </c>
      <c r="B145" s="20">
        <v>4952.99</v>
      </c>
      <c r="C145" s="21">
        <v>131170</v>
      </c>
      <c r="D145" s="22">
        <v>26.482993101136891</v>
      </c>
      <c r="E145" s="19"/>
      <c r="F145" s="28" t="s">
        <v>189</v>
      </c>
      <c r="G145" s="21">
        <v>648</v>
      </c>
    </row>
    <row r="146" spans="1:7" ht="9" customHeight="1" x14ac:dyDescent="0.35">
      <c r="A146" s="55" t="s">
        <v>282</v>
      </c>
      <c r="B146" s="20">
        <v>4801.5</v>
      </c>
      <c r="C146" s="21">
        <v>31104</v>
      </c>
      <c r="D146" s="22">
        <v>6.4779756326148075</v>
      </c>
      <c r="E146" s="19"/>
      <c r="F146" s="18" t="s">
        <v>132</v>
      </c>
      <c r="G146" s="21">
        <v>2893</v>
      </c>
    </row>
    <row r="147" spans="1:7" ht="9" customHeight="1" x14ac:dyDescent="0.35">
      <c r="A147" s="52" t="s">
        <v>283</v>
      </c>
      <c r="B147" s="20">
        <v>3069.02</v>
      </c>
      <c r="C147" s="21">
        <v>70086</v>
      </c>
      <c r="D147" s="22">
        <v>22.836605822053947</v>
      </c>
      <c r="E147" s="19"/>
      <c r="F147" s="18" t="s">
        <v>133</v>
      </c>
      <c r="G147" s="21">
        <v>2772</v>
      </c>
    </row>
    <row r="148" spans="1:7" ht="9" customHeight="1" x14ac:dyDescent="0.35">
      <c r="A148" s="52" t="s">
        <v>37</v>
      </c>
      <c r="B148" s="20">
        <v>10086.56</v>
      </c>
      <c r="C148" s="21">
        <v>31860</v>
      </c>
      <c r="D148" s="22">
        <v>3.1586586507193735</v>
      </c>
      <c r="E148" s="19"/>
      <c r="F148" s="18" t="s">
        <v>37</v>
      </c>
      <c r="G148" s="21">
        <v>210</v>
      </c>
    </row>
    <row r="149" spans="1:7" ht="9" customHeight="1" x14ac:dyDescent="0.35">
      <c r="A149" s="52" t="s">
        <v>284</v>
      </c>
      <c r="B149" s="20">
        <v>1860.89</v>
      </c>
      <c r="C149" s="21">
        <v>38406</v>
      </c>
      <c r="D149" s="22">
        <v>20.638511679895103</v>
      </c>
      <c r="E149" s="19"/>
      <c r="F149" s="28" t="s">
        <v>188</v>
      </c>
      <c r="G149" s="21">
        <v>3485</v>
      </c>
    </row>
    <row r="150" spans="1:7" ht="9" customHeight="1" x14ac:dyDescent="0.35">
      <c r="A150" s="52" t="s">
        <v>285</v>
      </c>
      <c r="B150" s="20">
        <v>727.47</v>
      </c>
      <c r="C150" s="21">
        <v>33565</v>
      </c>
      <c r="D150" s="22">
        <v>46.13935969868173</v>
      </c>
      <c r="E150" s="19"/>
      <c r="F150" s="18" t="s">
        <v>134</v>
      </c>
      <c r="G150" s="21">
        <v>3254</v>
      </c>
    </row>
    <row r="151" spans="1:7" ht="9" customHeight="1" x14ac:dyDescent="0.35">
      <c r="A151" s="53" t="s">
        <v>63</v>
      </c>
      <c r="B151" s="14">
        <v>21327.83</v>
      </c>
      <c r="C151" s="15">
        <v>771507</v>
      </c>
      <c r="D151" s="16">
        <v>36.173722314928426</v>
      </c>
      <c r="E151" s="17"/>
      <c r="F151" s="18" t="s">
        <v>202</v>
      </c>
      <c r="G151" s="26"/>
    </row>
    <row r="152" spans="1:7" ht="9" customHeight="1" x14ac:dyDescent="0.35">
      <c r="A152" s="52" t="s">
        <v>211</v>
      </c>
      <c r="B152" s="20">
        <v>7894.05</v>
      </c>
      <c r="C152" s="21">
        <v>353611</v>
      </c>
      <c r="D152" s="22">
        <v>44.794623798937174</v>
      </c>
      <c r="E152" s="19"/>
      <c r="F152" s="23" t="s">
        <v>211</v>
      </c>
      <c r="G152" s="15">
        <v>409</v>
      </c>
    </row>
    <row r="153" spans="1:7" ht="9" customHeight="1" x14ac:dyDescent="0.35">
      <c r="A153" s="52" t="s">
        <v>286</v>
      </c>
      <c r="B153" s="20">
        <v>2987.35</v>
      </c>
      <c r="C153" s="21">
        <v>212643</v>
      </c>
      <c r="D153" s="22">
        <v>71.181147170569233</v>
      </c>
      <c r="E153" s="19"/>
      <c r="F153" s="27" t="s">
        <v>135</v>
      </c>
      <c r="G153" s="26">
        <v>94</v>
      </c>
    </row>
    <row r="154" spans="1:7" ht="9" customHeight="1" x14ac:dyDescent="0.35">
      <c r="A154" s="52" t="s">
        <v>226</v>
      </c>
      <c r="B154" s="20">
        <v>5234.08</v>
      </c>
      <c r="C154" s="21">
        <v>58819</v>
      </c>
      <c r="D154" s="22">
        <v>11.237696022987803</v>
      </c>
      <c r="E154" s="19"/>
      <c r="F154" s="27" t="s">
        <v>226</v>
      </c>
      <c r="G154" s="26">
        <v>585</v>
      </c>
    </row>
    <row r="155" spans="1:7" ht="9" customHeight="1" x14ac:dyDescent="0.35">
      <c r="A155" s="52" t="s">
        <v>136</v>
      </c>
      <c r="B155" s="20">
        <v>1232.8800000000001</v>
      </c>
      <c r="C155" s="21">
        <v>12508</v>
      </c>
      <c r="D155" s="22">
        <v>10.14535072350918</v>
      </c>
      <c r="E155" s="19"/>
      <c r="F155" s="27" t="s">
        <v>136</v>
      </c>
      <c r="G155" s="26">
        <v>351</v>
      </c>
    </row>
    <row r="156" spans="1:7" ht="9" customHeight="1" x14ac:dyDescent="0.35">
      <c r="A156" s="52" t="s">
        <v>225</v>
      </c>
      <c r="B156" s="20">
        <v>3957.15</v>
      </c>
      <c r="C156" s="21">
        <v>133926</v>
      </c>
      <c r="D156" s="22">
        <v>33.844054433114742</v>
      </c>
      <c r="E156" s="19"/>
      <c r="F156" s="27" t="s">
        <v>225</v>
      </c>
      <c r="G156" s="26">
        <v>15</v>
      </c>
    </row>
    <row r="157" spans="1:7" ht="9" customHeight="1" x14ac:dyDescent="0.35">
      <c r="A157" s="53" t="s">
        <v>191</v>
      </c>
      <c r="B157" s="14">
        <v>44326.55</v>
      </c>
      <c r="C157" s="15">
        <v>1331253</v>
      </c>
      <c r="D157" s="16">
        <v>30.032858411042589</v>
      </c>
      <c r="E157" s="17"/>
      <c r="F157" s="18" t="s">
        <v>202</v>
      </c>
      <c r="G157" s="26"/>
    </row>
    <row r="158" spans="1:7" ht="9" customHeight="1" x14ac:dyDescent="0.35">
      <c r="A158" s="52" t="s">
        <v>13</v>
      </c>
      <c r="B158" s="20">
        <v>3558.1</v>
      </c>
      <c r="C158" s="21">
        <v>499432</v>
      </c>
      <c r="D158" s="22">
        <v>140.36480143897023</v>
      </c>
      <c r="E158" s="19"/>
      <c r="F158" s="12" t="s">
        <v>13</v>
      </c>
      <c r="G158" s="15">
        <v>3245</v>
      </c>
    </row>
    <row r="159" spans="1:7" ht="9" customHeight="1" x14ac:dyDescent="0.35">
      <c r="A159" s="55" t="s">
        <v>190</v>
      </c>
      <c r="B159" s="20">
        <v>3067.52</v>
      </c>
      <c r="C159" s="21">
        <v>58138</v>
      </c>
      <c r="D159" s="22">
        <v>18.95276966409347</v>
      </c>
      <c r="E159" s="19"/>
      <c r="F159" s="29" t="s">
        <v>190</v>
      </c>
      <c r="G159" s="21">
        <v>3286</v>
      </c>
    </row>
    <row r="160" spans="1:7" ht="9" customHeight="1" x14ac:dyDescent="0.35">
      <c r="A160" s="52" t="s">
        <v>287</v>
      </c>
      <c r="B160" s="20">
        <v>4725.4799999999996</v>
      </c>
      <c r="C160" s="21">
        <v>196791</v>
      </c>
      <c r="D160" s="22">
        <v>41.644658320424597</v>
      </c>
      <c r="E160" s="19"/>
      <c r="F160" s="18" t="s">
        <v>137</v>
      </c>
      <c r="G160" s="21">
        <v>775</v>
      </c>
    </row>
    <row r="161" spans="1:7" ht="9" customHeight="1" x14ac:dyDescent="0.35">
      <c r="A161" s="52" t="s">
        <v>139</v>
      </c>
      <c r="B161" s="20">
        <v>3749.1</v>
      </c>
      <c r="C161" s="21">
        <v>86957</v>
      </c>
      <c r="D161" s="22">
        <v>23.194099917313491</v>
      </c>
      <c r="E161" s="19"/>
      <c r="F161" s="27" t="s">
        <v>139</v>
      </c>
      <c r="G161" s="21">
        <v>3389</v>
      </c>
    </row>
    <row r="162" spans="1:7" ht="9" customHeight="1" x14ac:dyDescent="0.35">
      <c r="A162" s="55" t="s">
        <v>191</v>
      </c>
      <c r="B162" s="20">
        <v>2487.31</v>
      </c>
      <c r="C162" s="21">
        <v>26965</v>
      </c>
      <c r="D162" s="22">
        <v>10.841029063526461</v>
      </c>
      <c r="E162" s="19"/>
      <c r="F162" s="29" t="s">
        <v>191</v>
      </c>
      <c r="G162" s="21">
        <v>4113</v>
      </c>
    </row>
    <row r="163" spans="1:7" ht="9" customHeight="1" x14ac:dyDescent="0.35">
      <c r="A163" s="52" t="s">
        <v>140</v>
      </c>
      <c r="B163" s="20">
        <v>19219.48</v>
      </c>
      <c r="C163" s="21">
        <v>254488</v>
      </c>
      <c r="D163" s="22">
        <v>13.241149084158364</v>
      </c>
      <c r="E163" s="19"/>
      <c r="F163" s="27" t="s">
        <v>140</v>
      </c>
      <c r="G163" s="21">
        <v>628</v>
      </c>
    </row>
    <row r="164" spans="1:7" ht="9" customHeight="1" x14ac:dyDescent="0.35">
      <c r="A164" s="52" t="s">
        <v>141</v>
      </c>
      <c r="B164" s="20">
        <v>2749.16</v>
      </c>
      <c r="C164" s="21">
        <v>110445</v>
      </c>
      <c r="D164" s="22">
        <v>40.174089540077702</v>
      </c>
      <c r="E164" s="19"/>
      <c r="F164" s="27" t="s">
        <v>141</v>
      </c>
      <c r="G164" s="21">
        <v>3059</v>
      </c>
    </row>
    <row r="165" spans="1:7" ht="9" customHeight="1" x14ac:dyDescent="0.35">
      <c r="A165" s="52" t="s">
        <v>288</v>
      </c>
      <c r="B165" s="20">
        <v>3617.35</v>
      </c>
      <c r="C165" s="21">
        <v>44613</v>
      </c>
      <c r="D165" s="22">
        <v>12.333061495293517</v>
      </c>
      <c r="E165" s="19"/>
      <c r="F165" s="18" t="s">
        <v>142</v>
      </c>
      <c r="G165" s="21">
        <v>3725</v>
      </c>
    </row>
    <row r="166" spans="1:7" ht="9" customHeight="1" x14ac:dyDescent="0.35">
      <c r="A166" s="52" t="s">
        <v>138</v>
      </c>
      <c r="B166" s="20">
        <v>1153.05</v>
      </c>
      <c r="C166" s="21">
        <v>53424</v>
      </c>
      <c r="D166" s="22">
        <v>46.332769611031615</v>
      </c>
      <c r="E166" s="19"/>
      <c r="F166" s="27" t="s">
        <v>138</v>
      </c>
      <c r="G166" s="21">
        <v>3281</v>
      </c>
    </row>
    <row r="167" spans="1:7" ht="9" customHeight="1" x14ac:dyDescent="0.35">
      <c r="A167" s="53" t="s">
        <v>64</v>
      </c>
      <c r="B167" s="14">
        <v>25499.9</v>
      </c>
      <c r="C167" s="15">
        <v>1814276</v>
      </c>
      <c r="D167" s="16">
        <v>71.148357444538988</v>
      </c>
      <c r="E167" s="17"/>
      <c r="F167" s="18" t="s">
        <v>202</v>
      </c>
      <c r="G167" s="26"/>
    </row>
    <row r="168" spans="1:7" ht="9" customHeight="1" x14ac:dyDescent="0.35">
      <c r="A168" s="52" t="s">
        <v>26</v>
      </c>
      <c r="B168" s="20">
        <v>1768.65</v>
      </c>
      <c r="C168" s="21">
        <v>928388</v>
      </c>
      <c r="D168" s="22">
        <v>524.913351991632</v>
      </c>
      <c r="E168" s="19"/>
      <c r="F168" s="12" t="s">
        <v>26</v>
      </c>
      <c r="G168" s="31">
        <v>34</v>
      </c>
    </row>
    <row r="169" spans="1:7" ht="9" customHeight="1" x14ac:dyDescent="0.35">
      <c r="A169" s="52" t="s">
        <v>27</v>
      </c>
      <c r="B169" s="20">
        <v>2655.47</v>
      </c>
      <c r="C169" s="21">
        <v>120724</v>
      </c>
      <c r="D169" s="22">
        <v>45.462385189815741</v>
      </c>
      <c r="E169" s="19"/>
      <c r="F169" s="27" t="s">
        <v>27</v>
      </c>
      <c r="G169" s="21">
        <v>238</v>
      </c>
    </row>
    <row r="170" spans="1:7" ht="9" customHeight="1" x14ac:dyDescent="0.35">
      <c r="A170" s="55" t="s">
        <v>192</v>
      </c>
      <c r="B170" s="20">
        <v>1718.86</v>
      </c>
      <c r="C170" s="21">
        <v>16801</v>
      </c>
      <c r="D170" s="22">
        <v>9.7745017046181779</v>
      </c>
      <c r="E170" s="19"/>
      <c r="F170" s="29" t="s">
        <v>192</v>
      </c>
      <c r="G170" s="21">
        <v>3098</v>
      </c>
    </row>
    <row r="171" spans="1:7" ht="9" customHeight="1" x14ac:dyDescent="0.35">
      <c r="A171" s="55" t="s">
        <v>193</v>
      </c>
      <c r="B171" s="20">
        <v>1142.43</v>
      </c>
      <c r="C171" s="21">
        <v>85038</v>
      </c>
      <c r="D171" s="22">
        <v>74.436070481342398</v>
      </c>
      <c r="E171" s="19"/>
      <c r="F171" s="29" t="s">
        <v>193</v>
      </c>
      <c r="G171" s="21">
        <v>135</v>
      </c>
    </row>
    <row r="172" spans="1:7" ht="9" customHeight="1" x14ac:dyDescent="0.35">
      <c r="A172" s="55" t="s">
        <v>194</v>
      </c>
      <c r="B172" s="20">
        <v>1101.3900000000001</v>
      </c>
      <c r="C172" s="21">
        <v>31966</v>
      </c>
      <c r="D172" s="22">
        <v>29.023325071046585</v>
      </c>
      <c r="E172" s="19"/>
      <c r="F172" s="29" t="s">
        <v>194</v>
      </c>
      <c r="G172" s="21">
        <v>3412</v>
      </c>
    </row>
    <row r="173" spans="1:7" ht="9" customHeight="1" x14ac:dyDescent="0.35">
      <c r="A173" s="52" t="s">
        <v>144</v>
      </c>
      <c r="B173" s="20">
        <v>2110.77</v>
      </c>
      <c r="C173" s="21">
        <v>92085</v>
      </c>
      <c r="D173" s="22">
        <v>43.626259611421425</v>
      </c>
      <c r="E173" s="19"/>
      <c r="F173" s="27" t="s">
        <v>144</v>
      </c>
      <c r="G173" s="21">
        <v>2660</v>
      </c>
    </row>
    <row r="174" spans="1:7" ht="9" customHeight="1" x14ac:dyDescent="0.35">
      <c r="A174" s="52" t="s">
        <v>289</v>
      </c>
      <c r="B174" s="20">
        <v>1126.67</v>
      </c>
      <c r="C174" s="21">
        <v>102653</v>
      </c>
      <c r="D174" s="22">
        <v>91.111860615796985</v>
      </c>
      <c r="E174" s="19"/>
      <c r="F174" s="28" t="s">
        <v>195</v>
      </c>
      <c r="G174" s="21">
        <v>48</v>
      </c>
    </row>
    <row r="175" spans="1:7" ht="9" customHeight="1" x14ac:dyDescent="0.35">
      <c r="A175" s="52" t="s">
        <v>290</v>
      </c>
      <c r="B175" s="20">
        <v>4226.53</v>
      </c>
      <c r="C175" s="21">
        <v>86484</v>
      </c>
      <c r="D175" s="22">
        <v>20.462175827451833</v>
      </c>
      <c r="E175" s="19"/>
      <c r="F175" s="18" t="s">
        <v>145</v>
      </c>
      <c r="G175" s="21">
        <v>3290</v>
      </c>
    </row>
    <row r="176" spans="1:7" ht="9" customHeight="1" x14ac:dyDescent="0.35">
      <c r="A176" s="52" t="s">
        <v>291</v>
      </c>
      <c r="B176" s="20">
        <v>2486.38</v>
      </c>
      <c r="C176" s="21">
        <v>151178</v>
      </c>
      <c r="D176" s="22">
        <v>60.802451757173074</v>
      </c>
      <c r="E176" s="19"/>
      <c r="F176" s="18" t="s">
        <v>146</v>
      </c>
      <c r="G176" s="21">
        <v>3185</v>
      </c>
    </row>
    <row r="177" spans="1:7" ht="9" customHeight="1" x14ac:dyDescent="0.35">
      <c r="A177" s="55" t="s">
        <v>196</v>
      </c>
      <c r="B177" s="20">
        <v>2658.96</v>
      </c>
      <c r="C177" s="21">
        <v>61393</v>
      </c>
      <c r="D177" s="22">
        <v>23.089102506243041</v>
      </c>
      <c r="E177" s="19"/>
      <c r="F177" s="29" t="s">
        <v>196</v>
      </c>
      <c r="G177" s="21">
        <v>3127</v>
      </c>
    </row>
    <row r="178" spans="1:7" ht="9" customHeight="1" x14ac:dyDescent="0.35">
      <c r="A178" s="55" t="s">
        <v>292</v>
      </c>
      <c r="B178" s="20">
        <v>1284.77</v>
      </c>
      <c r="C178" s="21">
        <v>31312</v>
      </c>
      <c r="D178" s="22">
        <v>24.371677420861321</v>
      </c>
      <c r="E178" s="19"/>
      <c r="F178" s="27" t="s">
        <v>143</v>
      </c>
      <c r="G178" s="21">
        <v>1279</v>
      </c>
    </row>
    <row r="179" spans="1:7" ht="9" customHeight="1" x14ac:dyDescent="0.35">
      <c r="A179" s="55" t="s">
        <v>6</v>
      </c>
      <c r="B179" s="20">
        <v>3214.54</v>
      </c>
      <c r="C179" s="21">
        <v>106254</v>
      </c>
      <c r="D179" s="22">
        <v>33.054185046694087</v>
      </c>
      <c r="E179" s="19"/>
      <c r="F179" s="29" t="s">
        <v>6</v>
      </c>
      <c r="G179" s="21">
        <v>76</v>
      </c>
    </row>
    <row r="180" spans="1:7" ht="9" customHeight="1" x14ac:dyDescent="0.35">
      <c r="A180" s="53" t="s">
        <v>17</v>
      </c>
      <c r="B180" s="14">
        <v>14231.3</v>
      </c>
      <c r="C180" s="15">
        <v>1239882</v>
      </c>
      <c r="D180" s="16">
        <v>87.123593768664847</v>
      </c>
      <c r="E180" s="17"/>
      <c r="F180" s="18" t="s">
        <v>202</v>
      </c>
      <c r="G180" s="26"/>
    </row>
    <row r="181" spans="1:7" ht="9" customHeight="1" x14ac:dyDescent="0.35">
      <c r="A181" s="52" t="s">
        <v>28</v>
      </c>
      <c r="B181" s="20">
        <v>3288.07</v>
      </c>
      <c r="C181" s="21">
        <v>843445</v>
      </c>
      <c r="D181" s="22">
        <v>256.51674082364423</v>
      </c>
      <c r="E181" s="19"/>
      <c r="F181" s="12" t="s">
        <v>28</v>
      </c>
      <c r="G181" s="31">
        <v>34</v>
      </c>
    </row>
    <row r="182" spans="1:7" ht="9" customHeight="1" x14ac:dyDescent="0.35">
      <c r="A182" s="52" t="s">
        <v>147</v>
      </c>
      <c r="B182" s="20">
        <v>1578.6</v>
      </c>
      <c r="C182" s="21">
        <v>105431</v>
      </c>
      <c r="D182" s="22">
        <v>66.787659951856085</v>
      </c>
      <c r="E182" s="19"/>
      <c r="F182" s="27" t="s">
        <v>147</v>
      </c>
      <c r="G182" s="26">
        <v>42</v>
      </c>
    </row>
    <row r="183" spans="1:7" ht="9" customHeight="1" x14ac:dyDescent="0.35">
      <c r="A183" s="52" t="s">
        <v>212</v>
      </c>
      <c r="B183" s="20">
        <v>9346.6299999999992</v>
      </c>
      <c r="C183" s="21">
        <v>291006</v>
      </c>
      <c r="D183" s="22">
        <v>31.134858232325449</v>
      </c>
      <c r="E183" s="19"/>
      <c r="F183" s="27" t="s">
        <v>212</v>
      </c>
      <c r="G183" s="26">
        <v>20</v>
      </c>
    </row>
    <row r="184" spans="1:7" ht="9" customHeight="1" x14ac:dyDescent="0.35">
      <c r="A184" s="53" t="s">
        <v>65</v>
      </c>
      <c r="B184" s="14">
        <v>34801.589999999997</v>
      </c>
      <c r="C184" s="15">
        <v>9540996</v>
      </c>
      <c r="D184" s="16">
        <v>274.15402572123861</v>
      </c>
      <c r="E184" s="17"/>
      <c r="F184" s="18" t="s">
        <v>202</v>
      </c>
      <c r="G184" s="26"/>
    </row>
    <row r="185" spans="1:7" ht="9" customHeight="1" x14ac:dyDescent="0.35">
      <c r="A185" s="52" t="s">
        <v>213</v>
      </c>
      <c r="B185" s="20">
        <v>2670.4</v>
      </c>
      <c r="C185" s="21">
        <v>8617314</v>
      </c>
      <c r="D185" s="34">
        <v>3226.9749850209705</v>
      </c>
      <c r="E185" s="19"/>
      <c r="F185" s="23" t="s">
        <v>213</v>
      </c>
      <c r="G185" s="31">
        <v>161</v>
      </c>
    </row>
    <row r="186" spans="1:7" ht="9" customHeight="1" x14ac:dyDescent="0.35">
      <c r="A186" s="52" t="s">
        <v>29</v>
      </c>
      <c r="B186" s="72">
        <v>1355.87</v>
      </c>
      <c r="C186" s="21">
        <v>144224</v>
      </c>
      <c r="D186" s="22">
        <v>106.3700797274075</v>
      </c>
      <c r="E186" s="19"/>
      <c r="F186" s="27" t="s">
        <v>29</v>
      </c>
      <c r="G186" s="26">
        <v>51</v>
      </c>
    </row>
    <row r="187" spans="1:7" ht="4.5" customHeight="1" x14ac:dyDescent="0.35">
      <c r="A187" s="56"/>
      <c r="B187" s="67"/>
      <c r="C187" s="68"/>
      <c r="D187" s="68"/>
      <c r="E187" s="69"/>
      <c r="F187" s="70"/>
      <c r="G187" s="71"/>
    </row>
    <row r="188" spans="1:7" x14ac:dyDescent="0.35">
      <c r="B188" s="22"/>
      <c r="D188" s="22"/>
      <c r="E188" s="19"/>
      <c r="F188" s="27"/>
      <c r="G188" s="30" t="s">
        <v>230</v>
      </c>
    </row>
    <row r="189" spans="1:7" ht="10.5" customHeight="1" x14ac:dyDescent="0.35">
      <c r="B189" s="22"/>
      <c r="D189" s="22"/>
      <c r="E189" s="19"/>
      <c r="F189" s="27"/>
      <c r="G189" s="31"/>
    </row>
    <row r="190" spans="1:7" ht="10.5" customHeight="1" x14ac:dyDescent="0.35">
      <c r="B190" s="22"/>
      <c r="D190" s="22"/>
      <c r="E190" s="19"/>
      <c r="F190" s="27"/>
      <c r="G190" s="31"/>
    </row>
    <row r="191" spans="1:7" ht="10.5" customHeight="1" x14ac:dyDescent="0.35">
      <c r="B191" s="22"/>
      <c r="D191" s="22"/>
      <c r="E191" s="19"/>
      <c r="F191" s="27"/>
      <c r="G191" s="31"/>
    </row>
    <row r="192" spans="1:7" ht="16.5" customHeight="1" x14ac:dyDescent="0.35">
      <c r="A192" s="1" t="s">
        <v>240</v>
      </c>
      <c r="B192" s="35"/>
      <c r="C192" s="37"/>
      <c r="D192" s="35"/>
      <c r="E192" s="35"/>
      <c r="F192" s="36"/>
      <c r="G192" s="37"/>
    </row>
    <row r="193" spans="1:7" ht="16.5" customHeight="1" x14ac:dyDescent="0.35">
      <c r="A193" s="6" t="s">
        <v>325</v>
      </c>
      <c r="B193" s="35"/>
      <c r="C193" s="37"/>
      <c r="D193" s="35"/>
      <c r="E193" s="35"/>
      <c r="F193" s="36"/>
      <c r="G193" s="37"/>
    </row>
    <row r="194" spans="1:7" ht="8.25" customHeight="1" x14ac:dyDescent="0.35">
      <c r="A194" s="7" t="s">
        <v>202</v>
      </c>
      <c r="B194" s="8"/>
      <c r="C194" s="8"/>
      <c r="D194" s="8"/>
      <c r="E194" s="8"/>
    </row>
    <row r="195" spans="1:7" ht="12.75" customHeight="1" x14ac:dyDescent="0.35">
      <c r="A195" s="50"/>
      <c r="B195" s="57" t="s">
        <v>227</v>
      </c>
      <c r="C195" s="66"/>
      <c r="D195" s="59" t="s">
        <v>228</v>
      </c>
      <c r="E195" s="59"/>
      <c r="F195" s="78" t="s">
        <v>179</v>
      </c>
      <c r="G195" s="79"/>
    </row>
    <row r="196" spans="1:7" ht="9.6" customHeight="1" x14ac:dyDescent="0.35">
      <c r="A196" s="51" t="s">
        <v>55</v>
      </c>
      <c r="B196" s="60" t="s">
        <v>229</v>
      </c>
      <c r="C196" s="9" t="s">
        <v>238</v>
      </c>
      <c r="D196" s="10" t="s">
        <v>204</v>
      </c>
      <c r="E196" s="10"/>
      <c r="F196" s="11"/>
      <c r="G196" s="9" t="s">
        <v>0</v>
      </c>
    </row>
    <row r="197" spans="1:7" ht="9.6" customHeight="1" x14ac:dyDescent="0.35">
      <c r="A197" s="51" t="s">
        <v>60</v>
      </c>
      <c r="B197" s="61" t="s">
        <v>232</v>
      </c>
      <c r="C197" s="9" t="s">
        <v>323</v>
      </c>
      <c r="D197" s="9" t="s">
        <v>236</v>
      </c>
      <c r="E197" s="9"/>
      <c r="F197" s="12" t="s">
        <v>21</v>
      </c>
      <c r="G197" s="10" t="s">
        <v>208</v>
      </c>
    </row>
    <row r="198" spans="1:7" ht="9.6" customHeight="1" x14ac:dyDescent="0.35">
      <c r="A198" s="52"/>
      <c r="B198" s="61" t="s">
        <v>4</v>
      </c>
      <c r="C198" s="13" t="s">
        <v>326</v>
      </c>
      <c r="D198" s="9" t="s">
        <v>205</v>
      </c>
      <c r="E198" s="9"/>
      <c r="F198" s="11" t="s">
        <v>227</v>
      </c>
      <c r="G198" s="9" t="s">
        <v>209</v>
      </c>
    </row>
    <row r="199" spans="1:7" ht="9.6" customHeight="1" x14ac:dyDescent="0.35">
      <c r="A199" s="52"/>
      <c r="B199" s="61"/>
      <c r="C199" s="9" t="s">
        <v>239</v>
      </c>
      <c r="D199" s="9" t="s">
        <v>206</v>
      </c>
      <c r="E199" s="9"/>
      <c r="F199" s="11"/>
      <c r="G199" s="9" t="s">
        <v>207</v>
      </c>
    </row>
    <row r="200" spans="1:7" ht="9.6" customHeight="1" x14ac:dyDescent="0.35">
      <c r="A200" s="53"/>
      <c r="B200" s="62"/>
      <c r="C200" s="63"/>
      <c r="D200" s="64" t="s">
        <v>5</v>
      </c>
      <c r="E200" s="64"/>
      <c r="F200" s="65"/>
      <c r="G200" s="64" t="s">
        <v>231</v>
      </c>
    </row>
    <row r="201" spans="1:7" ht="4.5" customHeight="1" x14ac:dyDescent="0.35">
      <c r="A201" s="52"/>
      <c r="B201" s="22"/>
      <c r="C201" s="22"/>
      <c r="D201" s="22"/>
      <c r="E201" s="19"/>
      <c r="F201" s="27"/>
      <c r="G201" s="31"/>
    </row>
    <row r="202" spans="1:7" ht="9" customHeight="1" x14ac:dyDescent="0.35">
      <c r="A202" s="52" t="s">
        <v>148</v>
      </c>
      <c r="B202" s="20">
        <v>1515.21</v>
      </c>
      <c r="C202" s="21">
        <v>8035</v>
      </c>
      <c r="D202" s="22">
        <v>5.3028953082411014</v>
      </c>
      <c r="E202" s="19"/>
      <c r="F202" s="27" t="s">
        <v>148</v>
      </c>
      <c r="G202" s="21">
        <v>3382</v>
      </c>
    </row>
    <row r="203" spans="1:7" ht="9" customHeight="1" x14ac:dyDescent="0.35">
      <c r="A203" s="52" t="s">
        <v>149</v>
      </c>
      <c r="B203" s="20">
        <v>1687.29</v>
      </c>
      <c r="C203" s="21">
        <v>14820</v>
      </c>
      <c r="D203" s="22">
        <v>8.783315257009761</v>
      </c>
      <c r="E203" s="19"/>
      <c r="F203" s="27" t="s">
        <v>149</v>
      </c>
      <c r="G203" s="21">
        <v>2833</v>
      </c>
    </row>
    <row r="204" spans="1:7" ht="9" customHeight="1" x14ac:dyDescent="0.35">
      <c r="A204" s="52" t="s">
        <v>293</v>
      </c>
      <c r="B204" s="20">
        <v>4574.91</v>
      </c>
      <c r="C204" s="21">
        <v>226260</v>
      </c>
      <c r="D204" s="22">
        <v>49.456710623815553</v>
      </c>
      <c r="E204" s="19"/>
      <c r="F204" s="28" t="s">
        <v>197</v>
      </c>
      <c r="G204" s="21">
        <v>28</v>
      </c>
    </row>
    <row r="205" spans="1:7" ht="9" customHeight="1" x14ac:dyDescent="0.35">
      <c r="A205" s="52" t="s">
        <v>30</v>
      </c>
      <c r="B205" s="20">
        <v>3655.7</v>
      </c>
      <c r="C205" s="21">
        <v>185076</v>
      </c>
      <c r="D205" s="22">
        <v>50.626692562299972</v>
      </c>
      <c r="E205" s="19"/>
      <c r="F205" s="27" t="s">
        <v>30</v>
      </c>
      <c r="G205" s="21">
        <v>186</v>
      </c>
    </row>
    <row r="206" spans="1:7" ht="9" customHeight="1" x14ac:dyDescent="0.35">
      <c r="A206" s="55" t="s">
        <v>294</v>
      </c>
      <c r="B206" s="20">
        <v>5657.93</v>
      </c>
      <c r="C206" s="21">
        <v>80011</v>
      </c>
      <c r="D206" s="22">
        <v>14.14139093272628</v>
      </c>
      <c r="E206" s="19"/>
      <c r="F206" s="18" t="s">
        <v>150</v>
      </c>
      <c r="G206" s="21">
        <v>2380</v>
      </c>
    </row>
    <row r="207" spans="1:7" ht="9" customHeight="1" x14ac:dyDescent="0.35">
      <c r="A207" s="52" t="s">
        <v>295</v>
      </c>
      <c r="B207" s="20">
        <v>4891.92</v>
      </c>
      <c r="C207" s="21">
        <v>215138</v>
      </c>
      <c r="D207" s="22">
        <v>43.978233495232956</v>
      </c>
      <c r="E207" s="19"/>
      <c r="F207" s="18" t="s">
        <v>31</v>
      </c>
      <c r="G207" s="21">
        <v>37</v>
      </c>
    </row>
    <row r="208" spans="1:7" ht="9" customHeight="1" x14ac:dyDescent="0.35">
      <c r="A208" s="55" t="s">
        <v>198</v>
      </c>
      <c r="B208" s="20">
        <v>1886.05</v>
      </c>
      <c r="C208" s="21">
        <v>22404</v>
      </c>
      <c r="D208" s="22">
        <v>11.878794305559238</v>
      </c>
      <c r="E208" s="19"/>
      <c r="F208" s="29" t="s">
        <v>198</v>
      </c>
      <c r="G208" s="21">
        <v>3619</v>
      </c>
    </row>
    <row r="209" spans="1:7" ht="9" customHeight="1" x14ac:dyDescent="0.35">
      <c r="A209" s="52" t="s">
        <v>151</v>
      </c>
      <c r="B209" s="20">
        <v>6901.58</v>
      </c>
      <c r="C209" s="21">
        <v>27714</v>
      </c>
      <c r="D209" s="22">
        <v>4.0156022244181768</v>
      </c>
      <c r="E209" s="19"/>
      <c r="F209" s="27" t="s">
        <v>151</v>
      </c>
      <c r="G209" s="21">
        <v>2900</v>
      </c>
    </row>
    <row r="210" spans="1:7" ht="9" customHeight="1" x14ac:dyDescent="0.35">
      <c r="A210" s="53" t="s">
        <v>66</v>
      </c>
      <c r="B210" s="14">
        <v>368851.95</v>
      </c>
      <c r="C210" s="15">
        <v>1018160</v>
      </c>
      <c r="D210" s="16">
        <v>2.7603486981700924</v>
      </c>
      <c r="E210" s="17"/>
      <c r="F210" s="18" t="s">
        <v>202</v>
      </c>
      <c r="G210" s="26"/>
    </row>
    <row r="211" spans="1:7" ht="9" customHeight="1" x14ac:dyDescent="0.35">
      <c r="A211" s="52" t="s">
        <v>296</v>
      </c>
      <c r="B211" s="20">
        <v>119859.4</v>
      </c>
      <c r="C211" s="21">
        <v>554705</v>
      </c>
      <c r="D211" s="22">
        <v>4.6279640979347469</v>
      </c>
      <c r="E211" s="19"/>
      <c r="F211" s="23" t="s">
        <v>38</v>
      </c>
      <c r="G211" s="31">
        <v>91</v>
      </c>
    </row>
    <row r="212" spans="1:7" ht="9" customHeight="1" x14ac:dyDescent="0.35">
      <c r="A212" s="52" t="s">
        <v>297</v>
      </c>
      <c r="B212" s="20">
        <v>18764.32</v>
      </c>
      <c r="C212" s="21">
        <v>118238</v>
      </c>
      <c r="D212" s="22">
        <v>6.3012142193268925</v>
      </c>
      <c r="E212" s="19"/>
      <c r="F212" s="18" t="s">
        <v>39</v>
      </c>
      <c r="G212" s="21">
        <v>148</v>
      </c>
    </row>
    <row r="213" spans="1:7" ht="9" customHeight="1" x14ac:dyDescent="0.35">
      <c r="A213" s="52" t="s">
        <v>298</v>
      </c>
      <c r="B213" s="20">
        <v>67434.12</v>
      </c>
      <c r="C213" s="21">
        <v>70115</v>
      </c>
      <c r="D213" s="22">
        <v>1.0397555421498792</v>
      </c>
      <c r="E213" s="19"/>
      <c r="F213" s="18" t="s">
        <v>40</v>
      </c>
      <c r="G213" s="21">
        <v>98</v>
      </c>
    </row>
    <row r="214" spans="1:7" ht="9" customHeight="1" x14ac:dyDescent="0.35">
      <c r="A214" s="55" t="s">
        <v>299</v>
      </c>
      <c r="B214" s="20">
        <v>37412.94</v>
      </c>
      <c r="C214" s="21">
        <v>69051</v>
      </c>
      <c r="D214" s="22">
        <v>1.8456448490816277</v>
      </c>
      <c r="E214" s="19"/>
      <c r="F214" s="18" t="s">
        <v>152</v>
      </c>
      <c r="G214" s="21">
        <v>74</v>
      </c>
    </row>
    <row r="215" spans="1:7" ht="9" customHeight="1" x14ac:dyDescent="0.35">
      <c r="A215" s="52" t="s">
        <v>41</v>
      </c>
      <c r="B215" s="20">
        <v>49477.8</v>
      </c>
      <c r="C215" s="21">
        <v>73187</v>
      </c>
      <c r="D215" s="22">
        <v>1.4791886462211334</v>
      </c>
      <c r="E215" s="19"/>
      <c r="F215" s="18" t="s">
        <v>41</v>
      </c>
      <c r="G215" s="21">
        <v>95</v>
      </c>
    </row>
    <row r="216" spans="1:7" ht="9" customHeight="1" x14ac:dyDescent="0.35">
      <c r="A216" s="52" t="s">
        <v>218</v>
      </c>
      <c r="B216" s="20">
        <v>29293.47</v>
      </c>
      <c r="C216" s="21">
        <v>71767</v>
      </c>
      <c r="D216" s="22">
        <v>2.4499316741922343</v>
      </c>
      <c r="E216" s="19"/>
      <c r="F216" s="18" t="s">
        <v>42</v>
      </c>
      <c r="G216" s="21">
        <v>134</v>
      </c>
    </row>
    <row r="217" spans="1:7" ht="9" customHeight="1" x14ac:dyDescent="0.35">
      <c r="A217" s="52" t="s">
        <v>300</v>
      </c>
      <c r="B217" s="20">
        <v>46609.9</v>
      </c>
      <c r="C217" s="21">
        <v>61097</v>
      </c>
      <c r="D217" s="22">
        <v>1.3108159425358132</v>
      </c>
      <c r="E217" s="19"/>
      <c r="F217" s="18" t="s">
        <v>235</v>
      </c>
      <c r="G217" s="21">
        <v>133</v>
      </c>
    </row>
    <row r="218" spans="1:7" ht="9" customHeight="1" x14ac:dyDescent="0.35">
      <c r="A218" s="53" t="s">
        <v>59</v>
      </c>
      <c r="B218" s="14">
        <v>85300.54</v>
      </c>
      <c r="C218" s="15">
        <v>130876</v>
      </c>
      <c r="D218" s="16">
        <v>1.534292748908741</v>
      </c>
      <c r="E218" s="17"/>
      <c r="F218" s="18" t="s">
        <v>202</v>
      </c>
      <c r="G218" s="26"/>
    </row>
    <row r="219" spans="1:7" ht="9" customHeight="1" x14ac:dyDescent="0.35">
      <c r="A219" s="52" t="s">
        <v>301</v>
      </c>
      <c r="B219" s="20">
        <v>36268.49</v>
      </c>
      <c r="C219" s="21">
        <v>94463</v>
      </c>
      <c r="D219" s="22">
        <v>2.6045473632897318</v>
      </c>
      <c r="E219" s="19"/>
      <c r="F219" s="23" t="s">
        <v>25</v>
      </c>
      <c r="G219" s="31">
        <v>205</v>
      </c>
    </row>
    <row r="220" spans="1:7" ht="9" customHeight="1" x14ac:dyDescent="0.35">
      <c r="A220" s="55" t="s">
        <v>43</v>
      </c>
      <c r="B220" s="20">
        <v>27835.17</v>
      </c>
      <c r="C220" s="21">
        <v>23313</v>
      </c>
      <c r="D220" s="22">
        <v>0.83753754692355031</v>
      </c>
      <c r="E220" s="19"/>
      <c r="F220" s="28" t="s">
        <v>43</v>
      </c>
      <c r="G220" s="26">
        <v>527</v>
      </c>
    </row>
    <row r="221" spans="1:7" ht="9" customHeight="1" x14ac:dyDescent="0.35">
      <c r="A221" s="55" t="s">
        <v>302</v>
      </c>
      <c r="B221" s="20">
        <v>21196.880000000001</v>
      </c>
      <c r="C221" s="21">
        <v>13100</v>
      </c>
      <c r="D221" s="22">
        <v>0.6180154815236959</v>
      </c>
      <c r="E221" s="19"/>
      <c r="F221" s="18" t="s">
        <v>44</v>
      </c>
      <c r="G221" s="26">
        <v>245</v>
      </c>
    </row>
    <row r="222" spans="1:7" ht="9" customHeight="1" x14ac:dyDescent="0.35">
      <c r="A222" s="53" t="s">
        <v>18</v>
      </c>
      <c r="B222" s="14">
        <v>15733.97</v>
      </c>
      <c r="C222" s="15">
        <v>176736</v>
      </c>
      <c r="D222" s="16">
        <v>11.232765792740167</v>
      </c>
      <c r="E222" s="17"/>
      <c r="F222" s="18" t="s">
        <v>202</v>
      </c>
      <c r="G222" s="26"/>
    </row>
    <row r="223" spans="1:7" ht="9" customHeight="1" x14ac:dyDescent="0.35">
      <c r="A223" s="52" t="s">
        <v>303</v>
      </c>
      <c r="B223" s="20">
        <v>8671.58</v>
      </c>
      <c r="C223" s="21">
        <v>79745</v>
      </c>
      <c r="D223" s="22">
        <v>9.1961326540261403</v>
      </c>
      <c r="E223" s="19"/>
      <c r="F223" s="23" t="s">
        <v>214</v>
      </c>
      <c r="G223" s="15">
        <v>1417</v>
      </c>
    </row>
    <row r="224" spans="1:7" ht="9" customHeight="1" x14ac:dyDescent="0.35">
      <c r="A224" s="55" t="s">
        <v>304</v>
      </c>
      <c r="B224" s="20">
        <v>5681.71</v>
      </c>
      <c r="C224" s="21">
        <v>27627</v>
      </c>
      <c r="D224" s="22">
        <v>4.8624445809448211</v>
      </c>
      <c r="E224" s="19"/>
      <c r="F224" s="18" t="s">
        <v>153</v>
      </c>
      <c r="G224" s="21">
        <v>2160</v>
      </c>
    </row>
    <row r="225" spans="1:7" ht="9" customHeight="1" x14ac:dyDescent="0.35">
      <c r="A225" s="52" t="s">
        <v>32</v>
      </c>
      <c r="B225" s="20">
        <v>1380.59</v>
      </c>
      <c r="C225" s="21">
        <v>69364</v>
      </c>
      <c r="D225" s="22">
        <v>50.242287717570029</v>
      </c>
      <c r="E225" s="19"/>
      <c r="F225" s="18" t="s">
        <v>32</v>
      </c>
      <c r="G225" s="21">
        <v>13</v>
      </c>
    </row>
    <row r="226" spans="1:7" ht="9" customHeight="1" x14ac:dyDescent="0.35">
      <c r="A226" s="53" t="s">
        <v>217</v>
      </c>
      <c r="B226" s="14">
        <v>25028.26</v>
      </c>
      <c r="C226" s="15">
        <v>299807</v>
      </c>
      <c r="D226" s="16">
        <v>11.978739233170824</v>
      </c>
      <c r="E226" s="17"/>
      <c r="F226" s="18" t="s">
        <v>202</v>
      </c>
      <c r="G226" s="26"/>
    </row>
    <row r="227" spans="1:7" ht="9" customHeight="1" x14ac:dyDescent="0.35">
      <c r="A227" s="52" t="s">
        <v>217</v>
      </c>
      <c r="B227" s="20">
        <v>5373.88</v>
      </c>
      <c r="C227" s="21">
        <v>156636</v>
      </c>
      <c r="D227" s="22">
        <v>29.147654953218158</v>
      </c>
      <c r="E227" s="19"/>
      <c r="F227" s="38" t="s">
        <v>24</v>
      </c>
      <c r="G227" s="15">
        <v>4342</v>
      </c>
    </row>
    <row r="228" spans="1:7" ht="9" customHeight="1" x14ac:dyDescent="0.35">
      <c r="A228" s="55" t="s">
        <v>305</v>
      </c>
      <c r="B228" s="20">
        <v>1887.23</v>
      </c>
      <c r="C228" s="21">
        <v>52409</v>
      </c>
      <c r="D228" s="22">
        <v>27.770330060458978</v>
      </c>
      <c r="E228" s="19"/>
      <c r="F228" s="18" t="s">
        <v>154</v>
      </c>
      <c r="G228" s="21">
        <v>3199</v>
      </c>
    </row>
    <row r="229" spans="1:7" ht="9" customHeight="1" x14ac:dyDescent="0.35">
      <c r="A229" s="52" t="s">
        <v>45</v>
      </c>
      <c r="B229" s="20">
        <v>17767.150000000001</v>
      </c>
      <c r="C229" s="21">
        <v>90762</v>
      </c>
      <c r="D229" s="22">
        <v>5.1084163751642775</v>
      </c>
      <c r="E229" s="19"/>
      <c r="F229" s="18" t="s">
        <v>45</v>
      </c>
      <c r="G229" s="21">
        <v>1806</v>
      </c>
    </row>
    <row r="230" spans="1:7" ht="9" customHeight="1" x14ac:dyDescent="0.35">
      <c r="A230" s="53" t="s">
        <v>19</v>
      </c>
      <c r="B230" s="14">
        <v>35892.49</v>
      </c>
      <c r="C230" s="15">
        <v>1814622</v>
      </c>
      <c r="D230" s="16">
        <v>50.557149977613705</v>
      </c>
      <c r="E230" s="17"/>
      <c r="F230" s="18" t="s">
        <v>202</v>
      </c>
      <c r="G230" s="26"/>
    </row>
    <row r="231" spans="1:7" ht="9" customHeight="1" x14ac:dyDescent="0.35">
      <c r="A231" s="52" t="s">
        <v>57</v>
      </c>
      <c r="B231" s="20">
        <v>6211.16</v>
      </c>
      <c r="C231" s="21">
        <v>744659</v>
      </c>
      <c r="D231" s="22">
        <v>119.89048744517933</v>
      </c>
      <c r="E231" s="19"/>
      <c r="F231" s="12" t="s">
        <v>57</v>
      </c>
      <c r="G231" s="31">
        <v>36</v>
      </c>
    </row>
    <row r="232" spans="1:7" ht="9" customHeight="1" x14ac:dyDescent="0.35">
      <c r="A232" s="52" t="s">
        <v>155</v>
      </c>
      <c r="B232" s="20">
        <v>5230.68</v>
      </c>
      <c r="C232" s="21">
        <v>141422</v>
      </c>
      <c r="D232" s="22">
        <v>27.037020043283089</v>
      </c>
      <c r="E232" s="19"/>
      <c r="F232" s="27" t="s">
        <v>155</v>
      </c>
      <c r="G232" s="21">
        <v>2748</v>
      </c>
    </row>
    <row r="233" spans="1:7" ht="9" customHeight="1" x14ac:dyDescent="0.35">
      <c r="A233" s="52" t="s">
        <v>156</v>
      </c>
      <c r="B233" s="20">
        <v>4254.1400000000003</v>
      </c>
      <c r="C233" s="21">
        <v>127204</v>
      </c>
      <c r="D233" s="22">
        <v>29.901225629621965</v>
      </c>
      <c r="E233" s="19"/>
      <c r="F233" s="27" t="s">
        <v>156</v>
      </c>
      <c r="G233" s="21">
        <v>1933</v>
      </c>
    </row>
    <row r="234" spans="1:7" ht="9" customHeight="1" x14ac:dyDescent="0.35">
      <c r="A234" s="55" t="s">
        <v>306</v>
      </c>
      <c r="B234" s="20">
        <v>3817.92</v>
      </c>
      <c r="C234" s="21">
        <v>158317</v>
      </c>
      <c r="D234" s="22">
        <v>41.466819629536502</v>
      </c>
      <c r="E234" s="19"/>
      <c r="F234" s="18" t="s">
        <v>157</v>
      </c>
      <c r="G234" s="21">
        <v>92</v>
      </c>
    </row>
    <row r="235" spans="1:7" ht="9" customHeight="1" x14ac:dyDescent="0.35">
      <c r="A235" s="52" t="s">
        <v>33</v>
      </c>
      <c r="B235" s="20">
        <v>1784.24</v>
      </c>
      <c r="C235" s="21">
        <v>125101</v>
      </c>
      <c r="D235" s="22">
        <v>70.114446487019677</v>
      </c>
      <c r="E235" s="19"/>
      <c r="F235" s="27" t="s">
        <v>33</v>
      </c>
      <c r="G235" s="21">
        <v>36</v>
      </c>
    </row>
    <row r="236" spans="1:7" ht="9" customHeight="1" x14ac:dyDescent="0.35">
      <c r="A236" s="52" t="s">
        <v>158</v>
      </c>
      <c r="B236" s="20">
        <v>5423.61</v>
      </c>
      <c r="C236" s="21">
        <v>312307</v>
      </c>
      <c r="D236" s="22">
        <v>57.582864549626542</v>
      </c>
      <c r="E236" s="19"/>
      <c r="F236" s="27" t="s">
        <v>158</v>
      </c>
      <c r="G236" s="21">
        <v>64</v>
      </c>
    </row>
    <row r="237" spans="1:7" ht="9" customHeight="1" x14ac:dyDescent="0.35">
      <c r="A237" s="52" t="s">
        <v>58</v>
      </c>
      <c r="B237" s="20">
        <v>2799.49</v>
      </c>
      <c r="C237" s="21">
        <v>133027</v>
      </c>
      <c r="D237" s="22">
        <v>47.518297975702723</v>
      </c>
      <c r="E237" s="19"/>
      <c r="F237" s="27" t="s">
        <v>58</v>
      </c>
      <c r="G237" s="21">
        <v>5</v>
      </c>
    </row>
    <row r="238" spans="1:7" ht="9" customHeight="1" x14ac:dyDescent="0.35">
      <c r="A238" s="52" t="s">
        <v>34</v>
      </c>
      <c r="B238" s="20">
        <v>6369.93</v>
      </c>
      <c r="C238" s="21">
        <v>72585</v>
      </c>
      <c r="D238" s="22">
        <v>11.394944685420404</v>
      </c>
      <c r="E238" s="19"/>
      <c r="F238" s="27" t="s">
        <v>34</v>
      </c>
      <c r="G238" s="21">
        <v>15</v>
      </c>
    </row>
    <row r="239" spans="1:7" ht="9" customHeight="1" x14ac:dyDescent="0.35">
      <c r="A239" s="53" t="s">
        <v>20</v>
      </c>
      <c r="B239" s="14">
        <v>71999</v>
      </c>
      <c r="C239" s="15">
        <v>1389684</v>
      </c>
      <c r="D239" s="16">
        <v>19.301434742149198</v>
      </c>
      <c r="E239" s="17"/>
      <c r="F239" s="18" t="s">
        <v>202</v>
      </c>
      <c r="G239" s="26"/>
    </row>
    <row r="240" spans="1:7" ht="9" customHeight="1" x14ac:dyDescent="0.35">
      <c r="A240" s="52" t="s">
        <v>219</v>
      </c>
      <c r="B240" s="20">
        <v>6492.6</v>
      </c>
      <c r="C240" s="21">
        <v>245925</v>
      </c>
      <c r="D240" s="22">
        <v>37.877737732187413</v>
      </c>
      <c r="E240" s="19"/>
      <c r="F240" s="23" t="s">
        <v>219</v>
      </c>
      <c r="G240" s="15">
        <v>3848</v>
      </c>
    </row>
    <row r="241" spans="1:7" ht="9" customHeight="1" x14ac:dyDescent="0.35">
      <c r="A241" s="55" t="s">
        <v>199</v>
      </c>
      <c r="B241" s="20">
        <v>4970.01</v>
      </c>
      <c r="C241" s="21">
        <v>138339</v>
      </c>
      <c r="D241" s="22">
        <v>27.834752847579782</v>
      </c>
      <c r="E241" s="19"/>
      <c r="F241" s="29" t="s">
        <v>199</v>
      </c>
      <c r="G241" s="21">
        <v>3865</v>
      </c>
    </row>
    <row r="242" spans="1:7" ht="9" customHeight="1" x14ac:dyDescent="0.35">
      <c r="A242" s="52" t="s">
        <v>307</v>
      </c>
      <c r="B242" s="20">
        <v>12266.4</v>
      </c>
      <c r="C242" s="21">
        <v>90276</v>
      </c>
      <c r="D242" s="22">
        <v>7.3596165134024654</v>
      </c>
      <c r="E242" s="19"/>
      <c r="F242" s="18" t="s">
        <v>159</v>
      </c>
      <c r="G242" s="21">
        <v>4321</v>
      </c>
    </row>
    <row r="243" spans="1:7" ht="9" customHeight="1" x14ac:dyDescent="0.35">
      <c r="A243" s="52" t="s">
        <v>308</v>
      </c>
      <c r="B243" s="20">
        <v>3978.13</v>
      </c>
      <c r="C243" s="21">
        <v>145186</v>
      </c>
      <c r="D243" s="22">
        <v>36.496042110237724</v>
      </c>
      <c r="E243" s="19"/>
      <c r="F243" s="18" t="s">
        <v>47</v>
      </c>
      <c r="G243" s="21">
        <v>3868</v>
      </c>
    </row>
    <row r="244" spans="1:7" ht="9" customHeight="1" x14ac:dyDescent="0.35">
      <c r="A244" s="52" t="s">
        <v>309</v>
      </c>
      <c r="B244" s="20">
        <v>5600.51</v>
      </c>
      <c r="C244" s="21">
        <v>84941</v>
      </c>
      <c r="D244" s="22">
        <v>15.166654465396901</v>
      </c>
      <c r="E244" s="19"/>
      <c r="F244" s="18" t="s">
        <v>48</v>
      </c>
      <c r="G244" s="21">
        <v>3862</v>
      </c>
    </row>
    <row r="245" spans="1:7" ht="9" customHeight="1" x14ac:dyDescent="0.35">
      <c r="A245" s="52" t="s">
        <v>200</v>
      </c>
      <c r="B245" s="20">
        <v>2805.85</v>
      </c>
      <c r="C245" s="21">
        <v>66750</v>
      </c>
      <c r="D245" s="22">
        <v>23.789582479462553</v>
      </c>
      <c r="E245" s="19"/>
      <c r="F245" s="29" t="s">
        <v>200</v>
      </c>
      <c r="G245" s="21">
        <v>3848</v>
      </c>
    </row>
    <row r="246" spans="1:7" ht="9" customHeight="1" x14ac:dyDescent="0.35">
      <c r="A246" s="52" t="s">
        <v>160</v>
      </c>
      <c r="B246" s="20">
        <v>5791.73</v>
      </c>
      <c r="C246" s="21">
        <v>51203</v>
      </c>
      <c r="D246" s="22">
        <v>8.8407090800158166</v>
      </c>
      <c r="E246" s="19"/>
      <c r="F246" s="18" t="s">
        <v>160</v>
      </c>
      <c r="G246" s="21">
        <v>3873</v>
      </c>
    </row>
    <row r="247" spans="1:7" ht="9" customHeight="1" x14ac:dyDescent="0.35">
      <c r="A247" s="52" t="s">
        <v>310</v>
      </c>
      <c r="B247" s="20">
        <v>6446.85</v>
      </c>
      <c r="C247" s="21">
        <v>77235</v>
      </c>
      <c r="D247" s="22">
        <v>11.980269433909584</v>
      </c>
      <c r="E247" s="19"/>
      <c r="F247" s="18" t="s">
        <v>161</v>
      </c>
      <c r="G247" s="21">
        <v>3918</v>
      </c>
    </row>
    <row r="248" spans="1:7" ht="9" customHeight="1" x14ac:dyDescent="0.35">
      <c r="A248" s="52" t="s">
        <v>162</v>
      </c>
      <c r="B248" s="20">
        <v>1000.41</v>
      </c>
      <c r="C248" s="21">
        <v>26350</v>
      </c>
      <c r="D248" s="22">
        <v>26.339200927619675</v>
      </c>
      <c r="E248" s="19"/>
      <c r="F248" s="27" t="s">
        <v>162</v>
      </c>
      <c r="G248" s="21">
        <v>3889</v>
      </c>
    </row>
    <row r="249" spans="1:7" ht="9" customHeight="1" x14ac:dyDescent="0.35">
      <c r="A249" s="55" t="s">
        <v>311</v>
      </c>
      <c r="B249" s="20">
        <v>3207.38</v>
      </c>
      <c r="C249" s="21">
        <v>64504</v>
      </c>
      <c r="D249" s="22">
        <v>20.111118732423346</v>
      </c>
      <c r="E249" s="19"/>
      <c r="F249" s="18" t="s">
        <v>163</v>
      </c>
      <c r="G249" s="21">
        <v>3861</v>
      </c>
    </row>
    <row r="250" spans="1:7" ht="4.5" customHeight="1" x14ac:dyDescent="0.35">
      <c r="A250" s="56"/>
      <c r="B250" s="67"/>
      <c r="C250" s="68"/>
      <c r="D250" s="68"/>
      <c r="E250" s="69"/>
      <c r="F250" s="70"/>
      <c r="G250" s="71"/>
    </row>
    <row r="251" spans="1:7" x14ac:dyDescent="0.35">
      <c r="A251" s="29"/>
      <c r="B251" s="22"/>
      <c r="C251" s="22"/>
      <c r="D251" s="22"/>
      <c r="E251" s="19"/>
      <c r="F251" s="18"/>
      <c r="G251" s="30" t="s">
        <v>230</v>
      </c>
    </row>
    <row r="252" spans="1:7" x14ac:dyDescent="0.35">
      <c r="A252" s="29"/>
      <c r="B252" s="22"/>
      <c r="C252" s="22"/>
      <c r="D252" s="22"/>
      <c r="E252" s="19"/>
      <c r="F252" s="18"/>
      <c r="G252" s="31"/>
    </row>
    <row r="253" spans="1:7" x14ac:dyDescent="0.35">
      <c r="A253" s="29"/>
      <c r="B253" s="22"/>
      <c r="C253" s="22"/>
      <c r="D253" s="22"/>
      <c r="E253" s="19"/>
      <c r="F253" s="18"/>
      <c r="G253" s="31"/>
    </row>
    <row r="254" spans="1:7" x14ac:dyDescent="0.35">
      <c r="A254" s="29"/>
      <c r="B254" s="22"/>
      <c r="C254" s="22"/>
      <c r="D254" s="22"/>
      <c r="E254" s="19"/>
      <c r="F254" s="18"/>
      <c r="G254" s="31"/>
    </row>
    <row r="255" spans="1:7" ht="11.35" x14ac:dyDescent="0.35">
      <c r="A255" s="1" t="s">
        <v>240</v>
      </c>
      <c r="B255" s="35"/>
      <c r="C255" s="35"/>
      <c r="D255" s="35"/>
      <c r="E255" s="35"/>
      <c r="F255" s="36"/>
      <c r="G255" s="37"/>
    </row>
    <row r="256" spans="1:7" ht="11.35" x14ac:dyDescent="0.35">
      <c r="A256" s="6" t="s">
        <v>325</v>
      </c>
      <c r="B256" s="35"/>
      <c r="C256" s="35"/>
      <c r="D256" s="35"/>
      <c r="E256" s="35"/>
      <c r="F256" s="36"/>
      <c r="G256" s="37"/>
    </row>
    <row r="257" spans="1:7" ht="11.25" customHeight="1" x14ac:dyDescent="0.35">
      <c r="A257" s="7" t="s">
        <v>202</v>
      </c>
      <c r="B257" s="8"/>
      <c r="C257" s="8"/>
      <c r="D257" s="8"/>
      <c r="E257" s="8"/>
      <c r="G257" s="39" t="s">
        <v>234</v>
      </c>
    </row>
    <row r="258" spans="1:7" ht="12.75" customHeight="1" x14ac:dyDescent="0.35">
      <c r="A258" s="50"/>
      <c r="B258" s="57" t="s">
        <v>227</v>
      </c>
      <c r="C258" s="58"/>
      <c r="D258" s="59" t="s">
        <v>228</v>
      </c>
      <c r="E258" s="59"/>
      <c r="F258" s="78" t="s">
        <v>179</v>
      </c>
      <c r="G258" s="79"/>
    </row>
    <row r="259" spans="1:7" ht="9.6" customHeight="1" x14ac:dyDescent="0.35">
      <c r="A259" s="51" t="s">
        <v>55</v>
      </c>
      <c r="B259" s="60" t="s">
        <v>229</v>
      </c>
      <c r="C259" s="9" t="s">
        <v>238</v>
      </c>
      <c r="D259" s="10" t="s">
        <v>204</v>
      </c>
      <c r="E259" s="10"/>
      <c r="F259" s="11"/>
      <c r="G259" s="9" t="s">
        <v>0</v>
      </c>
    </row>
    <row r="260" spans="1:7" ht="9.6" customHeight="1" x14ac:dyDescent="0.35">
      <c r="A260" s="51" t="s">
        <v>60</v>
      </c>
      <c r="B260" s="61" t="s">
        <v>232</v>
      </c>
      <c r="C260" s="9" t="s">
        <v>323</v>
      </c>
      <c r="D260" s="9" t="s">
        <v>236</v>
      </c>
      <c r="E260" s="9"/>
      <c r="F260" s="12" t="s">
        <v>21</v>
      </c>
      <c r="G260" s="10" t="s">
        <v>208</v>
      </c>
    </row>
    <row r="261" spans="1:7" ht="9.6" customHeight="1" x14ac:dyDescent="0.35">
      <c r="A261" s="52"/>
      <c r="B261" s="61" t="s">
        <v>4</v>
      </c>
      <c r="C261" s="13" t="s">
        <v>326</v>
      </c>
      <c r="D261" s="9" t="s">
        <v>205</v>
      </c>
      <c r="E261" s="9"/>
      <c r="F261" s="11" t="s">
        <v>227</v>
      </c>
      <c r="G261" s="9" t="s">
        <v>209</v>
      </c>
    </row>
    <row r="262" spans="1:7" ht="9.6" customHeight="1" x14ac:dyDescent="0.35">
      <c r="A262" s="52"/>
      <c r="B262" s="61"/>
      <c r="C262" s="9" t="s">
        <v>239</v>
      </c>
      <c r="D262" s="9" t="s">
        <v>206</v>
      </c>
      <c r="E262" s="9"/>
      <c r="F262" s="11"/>
      <c r="G262" s="9" t="s">
        <v>207</v>
      </c>
    </row>
    <row r="263" spans="1:7" ht="9.6" customHeight="1" x14ac:dyDescent="0.35">
      <c r="A263" s="53"/>
      <c r="B263" s="62"/>
      <c r="C263" s="63"/>
      <c r="D263" s="64" t="s">
        <v>5</v>
      </c>
      <c r="E263" s="64"/>
      <c r="F263" s="65"/>
      <c r="G263" s="64" t="s">
        <v>231</v>
      </c>
    </row>
    <row r="264" spans="1:7" ht="4.5" customHeight="1" x14ac:dyDescent="0.35">
      <c r="A264" s="55"/>
      <c r="B264" s="22"/>
      <c r="C264" s="22"/>
      <c r="D264" s="22"/>
      <c r="E264" s="19"/>
      <c r="F264" s="18"/>
      <c r="G264" s="26"/>
    </row>
    <row r="265" spans="1:7" ht="9" customHeight="1" x14ac:dyDescent="0.35">
      <c r="A265" s="55" t="s">
        <v>312</v>
      </c>
      <c r="B265" s="20">
        <v>2277.63</v>
      </c>
      <c r="C265" s="21">
        <v>282043</v>
      </c>
      <c r="D265" s="22">
        <v>123.83179006247722</v>
      </c>
      <c r="E265" s="19"/>
      <c r="F265" s="18" t="s">
        <v>164</v>
      </c>
      <c r="G265" s="21">
        <v>3832</v>
      </c>
    </row>
    <row r="266" spans="1:7" ht="9" customHeight="1" x14ac:dyDescent="0.35">
      <c r="A266" s="52" t="s">
        <v>165</v>
      </c>
      <c r="B266" s="20">
        <v>11862.41</v>
      </c>
      <c r="C266" s="21">
        <v>69013</v>
      </c>
      <c r="D266" s="22">
        <v>5.8177891339112371</v>
      </c>
      <c r="E266" s="19"/>
      <c r="F266" s="18" t="s">
        <v>165</v>
      </c>
      <c r="G266" s="21">
        <v>2249</v>
      </c>
    </row>
    <row r="267" spans="1:7" ht="9" customHeight="1" x14ac:dyDescent="0.35">
      <c r="A267" s="52" t="s">
        <v>46</v>
      </c>
      <c r="B267" s="20">
        <v>288.31</v>
      </c>
      <c r="C267" s="21">
        <v>47919</v>
      </c>
      <c r="D267" s="22">
        <v>166.20651382192779</v>
      </c>
      <c r="E267" s="19"/>
      <c r="F267" s="27" t="s">
        <v>46</v>
      </c>
      <c r="G267" s="21">
        <v>3839</v>
      </c>
    </row>
    <row r="268" spans="1:7" ht="9" customHeight="1" x14ac:dyDescent="0.35">
      <c r="A268" s="54" t="s">
        <v>180</v>
      </c>
      <c r="B268" s="14">
        <v>51253.31</v>
      </c>
      <c r="C268" s="15">
        <v>818061</v>
      </c>
      <c r="D268" s="16">
        <v>15.961134997915257</v>
      </c>
      <c r="E268" s="17"/>
      <c r="F268" s="18" t="s">
        <v>202</v>
      </c>
      <c r="G268" s="26"/>
    </row>
    <row r="269" spans="1:7" ht="9" customHeight="1" x14ac:dyDescent="0.35">
      <c r="A269" s="52" t="s">
        <v>14</v>
      </c>
      <c r="B269" s="20">
        <v>3772.31</v>
      </c>
      <c r="C269" s="21">
        <v>140299</v>
      </c>
      <c r="D269" s="22">
        <v>37.191800249714369</v>
      </c>
      <c r="E269" s="19"/>
      <c r="F269" s="12" t="s">
        <v>14</v>
      </c>
      <c r="G269" s="31">
        <v>878</v>
      </c>
    </row>
    <row r="270" spans="1:7" ht="9" customHeight="1" x14ac:dyDescent="0.35">
      <c r="A270" s="52" t="s">
        <v>166</v>
      </c>
      <c r="B270" s="20">
        <v>8050.9</v>
      </c>
      <c r="C270" s="21">
        <v>56870</v>
      </c>
      <c r="D270" s="22">
        <v>7.0638065309468514</v>
      </c>
      <c r="E270" s="19"/>
      <c r="F270" s="27" t="s">
        <v>166</v>
      </c>
      <c r="G270" s="26">
        <v>285</v>
      </c>
    </row>
    <row r="271" spans="1:7" ht="9" customHeight="1" x14ac:dyDescent="0.35">
      <c r="A271" s="52" t="s">
        <v>313</v>
      </c>
      <c r="B271" s="20">
        <v>1298.1400000000001</v>
      </c>
      <c r="C271" s="21">
        <v>38889</v>
      </c>
      <c r="D271" s="22">
        <v>29.957477621828151</v>
      </c>
      <c r="E271" s="19"/>
      <c r="F271" s="28" t="s">
        <v>51</v>
      </c>
      <c r="G271" s="26">
        <v>346</v>
      </c>
    </row>
    <row r="272" spans="1:7" ht="9" customHeight="1" x14ac:dyDescent="0.35">
      <c r="A272" s="52" t="s">
        <v>314</v>
      </c>
      <c r="B272" s="20">
        <v>2380.85</v>
      </c>
      <c r="C272" s="21">
        <v>25359</v>
      </c>
      <c r="D272" s="22">
        <v>10.651238003234139</v>
      </c>
      <c r="E272" s="19"/>
      <c r="F272" s="18" t="s">
        <v>167</v>
      </c>
      <c r="G272" s="26">
        <v>303</v>
      </c>
    </row>
    <row r="273" spans="1:7" ht="9" customHeight="1" x14ac:dyDescent="0.35">
      <c r="A273" s="52" t="s">
        <v>168</v>
      </c>
      <c r="B273" s="20">
        <v>5040.67</v>
      </c>
      <c r="C273" s="21">
        <v>84231</v>
      </c>
      <c r="D273" s="22">
        <v>16.710278593917078</v>
      </c>
      <c r="E273" s="19"/>
      <c r="F273" s="18" t="s">
        <v>168</v>
      </c>
      <c r="G273" s="26">
        <v>791</v>
      </c>
    </row>
    <row r="274" spans="1:7" ht="9" customHeight="1" x14ac:dyDescent="0.35">
      <c r="A274" s="55" t="s">
        <v>315</v>
      </c>
      <c r="B274" s="20">
        <v>14498.73</v>
      </c>
      <c r="C274" s="21">
        <v>51221</v>
      </c>
      <c r="D274" s="22">
        <v>3.5327921824877078</v>
      </c>
      <c r="E274" s="19"/>
      <c r="F274" s="28" t="s">
        <v>201</v>
      </c>
      <c r="G274" s="26">
        <v>282</v>
      </c>
    </row>
    <row r="275" spans="1:7" ht="9" customHeight="1" x14ac:dyDescent="0.35">
      <c r="A275" s="52" t="s">
        <v>169</v>
      </c>
      <c r="B275" s="20">
        <v>2171.41</v>
      </c>
      <c r="C275" s="21">
        <v>43100</v>
      </c>
      <c r="D275" s="22">
        <v>19.84885397046159</v>
      </c>
      <c r="E275" s="19"/>
      <c r="F275" s="27" t="s">
        <v>169</v>
      </c>
      <c r="G275" s="26">
        <v>223</v>
      </c>
    </row>
    <row r="276" spans="1:7" ht="9" customHeight="1" x14ac:dyDescent="0.35">
      <c r="A276" s="52" t="s">
        <v>170</v>
      </c>
      <c r="B276" s="20">
        <v>2535.04</v>
      </c>
      <c r="C276" s="21">
        <v>123053</v>
      </c>
      <c r="D276" s="22">
        <v>48.540851426407471</v>
      </c>
      <c r="E276" s="19"/>
      <c r="F276" s="27" t="s">
        <v>170</v>
      </c>
      <c r="G276" s="26">
        <v>841</v>
      </c>
    </row>
    <row r="277" spans="1:7" ht="9" customHeight="1" x14ac:dyDescent="0.35">
      <c r="A277" s="55" t="s">
        <v>316</v>
      </c>
      <c r="B277" s="20">
        <v>5639.82</v>
      </c>
      <c r="C277" s="21">
        <v>181946</v>
      </c>
      <c r="D277" s="22">
        <v>32.260958683078542</v>
      </c>
      <c r="E277" s="19"/>
      <c r="F277" s="18" t="s">
        <v>171</v>
      </c>
      <c r="G277" s="26">
        <v>280</v>
      </c>
    </row>
    <row r="278" spans="1:7" ht="9" customHeight="1" x14ac:dyDescent="0.35">
      <c r="A278" s="52" t="s">
        <v>317</v>
      </c>
      <c r="B278" s="20">
        <v>5865.44</v>
      </c>
      <c r="C278" s="21">
        <v>73093</v>
      </c>
      <c r="D278" s="22">
        <v>12.461639706484084</v>
      </c>
      <c r="E278" s="19"/>
      <c r="F278" s="18" t="s">
        <v>172</v>
      </c>
      <c r="G278" s="26">
        <v>502</v>
      </c>
    </row>
    <row r="279" spans="1:7" ht="9" customHeight="1" x14ac:dyDescent="0.35">
      <c r="A279" s="53" t="s">
        <v>67</v>
      </c>
      <c r="B279" s="14">
        <v>16075.89</v>
      </c>
      <c r="C279" s="15">
        <v>333276</v>
      </c>
      <c r="D279" s="16">
        <v>20.731418291615583</v>
      </c>
      <c r="E279" s="17"/>
      <c r="F279" s="18" t="s">
        <v>202</v>
      </c>
      <c r="G279" s="26"/>
    </row>
    <row r="280" spans="1:7" ht="9" customHeight="1" x14ac:dyDescent="0.35">
      <c r="A280" s="52" t="s">
        <v>56</v>
      </c>
      <c r="B280" s="20">
        <v>8066.11</v>
      </c>
      <c r="C280" s="21">
        <v>307608</v>
      </c>
      <c r="D280" s="22">
        <v>38.135854829651471</v>
      </c>
      <c r="E280" s="19"/>
      <c r="F280" s="12" t="s">
        <v>56</v>
      </c>
      <c r="G280" s="31">
        <v>585</v>
      </c>
    </row>
    <row r="281" spans="1:7" ht="9" customHeight="1" x14ac:dyDescent="0.35">
      <c r="A281" s="52" t="s">
        <v>173</v>
      </c>
      <c r="B281" s="20">
        <v>2261.1</v>
      </c>
      <c r="C281" s="21">
        <v>8323</v>
      </c>
      <c r="D281" s="22">
        <v>3.6809517491486448</v>
      </c>
      <c r="E281" s="19"/>
      <c r="F281" s="27" t="s">
        <v>173</v>
      </c>
      <c r="G281" s="21">
        <v>3460</v>
      </c>
    </row>
    <row r="282" spans="1:7" ht="9" customHeight="1" x14ac:dyDescent="0.35">
      <c r="A282" s="52" t="s">
        <v>318</v>
      </c>
      <c r="B282" s="20">
        <v>2928.56</v>
      </c>
      <c r="C282" s="21">
        <v>9437</v>
      </c>
      <c r="D282" s="22">
        <v>3.2224028191329528</v>
      </c>
      <c r="E282" s="19"/>
      <c r="F282" s="18" t="s">
        <v>174</v>
      </c>
      <c r="G282" s="21">
        <v>596</v>
      </c>
    </row>
    <row r="283" spans="1:7" ht="9" customHeight="1" x14ac:dyDescent="0.35">
      <c r="A283" s="52" t="s">
        <v>175</v>
      </c>
      <c r="B283" s="20">
        <v>2819.96</v>
      </c>
      <c r="C283" s="21">
        <v>7908</v>
      </c>
      <c r="D283" s="22">
        <v>2.804295096384346</v>
      </c>
      <c r="E283" s="19"/>
      <c r="F283" s="27" t="s">
        <v>175</v>
      </c>
      <c r="G283" s="21">
        <v>3084</v>
      </c>
    </row>
    <row r="284" spans="1:7" ht="9" customHeight="1" x14ac:dyDescent="0.35">
      <c r="A284" s="53" t="s">
        <v>68</v>
      </c>
      <c r="B284" s="14">
        <v>4669.2</v>
      </c>
      <c r="C284" s="15">
        <v>231480</v>
      </c>
      <c r="D284" s="16">
        <v>49.575944487278335</v>
      </c>
      <c r="E284" s="17"/>
      <c r="F284" s="18" t="s">
        <v>202</v>
      </c>
      <c r="G284" s="26"/>
    </row>
    <row r="285" spans="1:7" ht="9" customHeight="1" x14ac:dyDescent="0.35">
      <c r="A285" s="52" t="s">
        <v>215</v>
      </c>
      <c r="B285" s="20">
        <v>1800.15</v>
      </c>
      <c r="C285" s="21">
        <v>161257</v>
      </c>
      <c r="D285" s="22">
        <v>89.579757242452018</v>
      </c>
      <c r="E285" s="19"/>
      <c r="F285" s="12" t="s">
        <v>215</v>
      </c>
      <c r="G285" s="31">
        <v>23</v>
      </c>
    </row>
    <row r="286" spans="1:7" ht="9" customHeight="1" x14ac:dyDescent="0.35">
      <c r="A286" s="52" t="s">
        <v>319</v>
      </c>
      <c r="B286" s="20">
        <v>2123.2199999999998</v>
      </c>
      <c r="C286" s="21">
        <v>19428</v>
      </c>
      <c r="D286" s="22">
        <v>9.150252917738154</v>
      </c>
      <c r="E286" s="19"/>
      <c r="F286" s="18" t="s">
        <v>35</v>
      </c>
      <c r="G286" s="26">
        <v>5</v>
      </c>
    </row>
    <row r="287" spans="1:7" ht="9" customHeight="1" x14ac:dyDescent="0.35">
      <c r="A287" s="52" t="s">
        <v>176</v>
      </c>
      <c r="B287" s="20">
        <v>733.89</v>
      </c>
      <c r="C287" s="21">
        <v>50795</v>
      </c>
      <c r="D287" s="22">
        <v>69.213369851067597</v>
      </c>
      <c r="E287" s="19"/>
      <c r="F287" s="27" t="s">
        <v>176</v>
      </c>
      <c r="G287" s="26">
        <v>14</v>
      </c>
    </row>
    <row r="288" spans="1:7" ht="9" customHeight="1" x14ac:dyDescent="0.35">
      <c r="A288" s="53" t="s">
        <v>218</v>
      </c>
      <c r="B288" s="14">
        <v>102399.94</v>
      </c>
      <c r="C288" s="15">
        <v>483708</v>
      </c>
      <c r="D288" s="16">
        <v>4.723713705300999</v>
      </c>
      <c r="E288" s="17"/>
      <c r="F288" s="18" t="s">
        <v>202</v>
      </c>
      <c r="G288" s="26"/>
    </row>
    <row r="289" spans="1:7" ht="9" customHeight="1" x14ac:dyDescent="0.35">
      <c r="A289" s="52" t="s">
        <v>320</v>
      </c>
      <c r="B289" s="20">
        <v>36815.39</v>
      </c>
      <c r="C289" s="21">
        <v>370098</v>
      </c>
      <c r="D289" s="22">
        <v>10.052806720233033</v>
      </c>
      <c r="E289" s="19"/>
      <c r="F289" s="23" t="s">
        <v>15</v>
      </c>
      <c r="G289" s="31">
        <v>157</v>
      </c>
    </row>
    <row r="290" spans="1:7" ht="9" customHeight="1" x14ac:dyDescent="0.35">
      <c r="A290" s="52" t="s">
        <v>177</v>
      </c>
      <c r="B290" s="20">
        <v>38914.29</v>
      </c>
      <c r="C290" s="21">
        <v>51651</v>
      </c>
      <c r="D290" s="22">
        <v>1.3273016159359454</v>
      </c>
      <c r="E290" s="19"/>
      <c r="F290" s="27" t="s">
        <v>177</v>
      </c>
      <c r="G290" s="26">
        <v>228</v>
      </c>
    </row>
    <row r="291" spans="1:7" ht="9" customHeight="1" x14ac:dyDescent="0.35">
      <c r="A291" s="52" t="s">
        <v>321</v>
      </c>
      <c r="B291" s="20">
        <v>8822.5</v>
      </c>
      <c r="C291" s="21">
        <v>57630</v>
      </c>
      <c r="D291" s="22">
        <v>6.5321620855766502</v>
      </c>
      <c r="E291" s="19"/>
      <c r="F291" s="28" t="s">
        <v>52</v>
      </c>
      <c r="G291" s="26">
        <v>300</v>
      </c>
    </row>
    <row r="292" spans="1:7" ht="9" customHeight="1" x14ac:dyDescent="0.35">
      <c r="A292" s="55" t="s">
        <v>322</v>
      </c>
      <c r="B292" s="72">
        <v>17847.759999999998</v>
      </c>
      <c r="C292" s="21">
        <v>4329</v>
      </c>
      <c r="D292" s="22">
        <v>0.24255144623190811</v>
      </c>
      <c r="E292" s="19"/>
      <c r="F292" s="18" t="s">
        <v>178</v>
      </c>
      <c r="G292" s="26">
        <v>232</v>
      </c>
    </row>
    <row r="293" spans="1:7" ht="5.0999999999999996" customHeight="1" x14ac:dyDescent="0.35">
      <c r="A293" s="56"/>
      <c r="B293" s="67"/>
      <c r="C293" s="68"/>
      <c r="D293" s="68"/>
      <c r="E293" s="69"/>
      <c r="F293" s="70"/>
      <c r="G293" s="71"/>
    </row>
    <row r="294" spans="1:7" ht="23.25" customHeight="1" x14ac:dyDescent="0.35">
      <c r="A294" s="40"/>
      <c r="B294" s="41"/>
      <c r="C294" s="41"/>
      <c r="D294" s="41"/>
      <c r="E294" s="42"/>
      <c r="F294" s="43"/>
      <c r="G294" s="44"/>
    </row>
    <row r="295" spans="1:7" ht="9.75" customHeight="1" x14ac:dyDescent="0.35">
      <c r="A295" s="40" t="s">
        <v>327</v>
      </c>
      <c r="B295" s="45"/>
      <c r="C295" s="45"/>
      <c r="D295" s="45"/>
      <c r="E295" s="45"/>
      <c r="F295" s="46"/>
      <c r="G295" s="45"/>
    </row>
    <row r="296" spans="1:7" ht="9.6" customHeight="1" x14ac:dyDescent="0.35">
      <c r="A296" s="40" t="s">
        <v>328</v>
      </c>
      <c r="B296" s="45"/>
      <c r="C296" s="45"/>
      <c r="D296" s="45"/>
      <c r="E296" s="45"/>
      <c r="F296" s="46"/>
      <c r="G296" s="45"/>
    </row>
    <row r="297" spans="1:7" ht="9.6" customHeight="1" x14ac:dyDescent="0.35">
      <c r="A297" s="40" t="s">
        <v>329</v>
      </c>
      <c r="B297" s="45"/>
      <c r="C297" s="45"/>
      <c r="D297" s="45"/>
      <c r="E297" s="45"/>
      <c r="F297" s="46"/>
      <c r="G297" s="45"/>
    </row>
    <row r="298" spans="1:7" ht="9.6" customHeight="1" x14ac:dyDescent="0.35">
      <c r="A298" s="40" t="s">
        <v>241</v>
      </c>
      <c r="B298" s="45"/>
      <c r="C298" s="45"/>
      <c r="D298" s="45"/>
      <c r="E298" s="45"/>
      <c r="F298" s="46"/>
      <c r="G298" s="45"/>
    </row>
    <row r="299" spans="1:7" ht="9.6" customHeight="1" x14ac:dyDescent="0.35">
      <c r="A299" s="40" t="s">
        <v>330</v>
      </c>
      <c r="B299" s="45"/>
      <c r="C299" s="45"/>
      <c r="D299" s="45"/>
      <c r="E299" s="45"/>
      <c r="F299" s="46"/>
      <c r="G299" s="45"/>
    </row>
    <row r="300" spans="1:7" ht="9.6" customHeight="1" x14ac:dyDescent="0.35">
      <c r="A300" s="40" t="s">
        <v>331</v>
      </c>
      <c r="B300" s="45"/>
      <c r="C300" s="45"/>
      <c r="D300" s="45"/>
      <c r="E300" s="45"/>
      <c r="F300" s="46"/>
      <c r="G300" s="45"/>
    </row>
    <row r="301" spans="1:7" ht="9.6" customHeight="1" x14ac:dyDescent="0.35">
      <c r="A301" s="40" t="s">
        <v>332</v>
      </c>
      <c r="B301" s="45"/>
      <c r="C301" s="45"/>
      <c r="D301" s="45"/>
      <c r="E301" s="45"/>
      <c r="F301" s="46"/>
      <c r="G301" s="45"/>
    </row>
    <row r="302" spans="1:7" ht="9.6" customHeight="1" x14ac:dyDescent="0.35">
      <c r="A302" s="40" t="s">
        <v>333</v>
      </c>
      <c r="B302" s="45"/>
      <c r="C302" s="45"/>
      <c r="D302" s="45"/>
      <c r="E302" s="45"/>
      <c r="F302" s="46"/>
      <c r="G302" s="45"/>
    </row>
    <row r="303" spans="1:7" ht="9.6" customHeight="1" x14ac:dyDescent="0.35">
      <c r="A303" s="40" t="s">
        <v>334</v>
      </c>
      <c r="B303" s="45"/>
      <c r="C303" s="45"/>
      <c r="D303" s="45"/>
      <c r="E303" s="45"/>
      <c r="F303" s="46" t="s">
        <v>227</v>
      </c>
      <c r="G303" s="45"/>
    </row>
    <row r="304" spans="1:7" ht="9.6" customHeight="1" x14ac:dyDescent="0.35">
      <c r="A304" s="40" t="s">
        <v>335</v>
      </c>
      <c r="B304" s="45"/>
      <c r="C304" s="45"/>
      <c r="D304" s="45"/>
      <c r="E304" s="45"/>
      <c r="F304" s="46"/>
      <c r="G304" s="45"/>
    </row>
    <row r="305" spans="1:7" ht="18" customHeight="1" x14ac:dyDescent="0.35">
      <c r="A305" s="76" t="s">
        <v>336</v>
      </c>
      <c r="B305" s="77"/>
      <c r="C305" s="77"/>
      <c r="D305" s="77"/>
      <c r="E305" s="77"/>
      <c r="F305" s="77"/>
      <c r="G305" s="77"/>
    </row>
    <row r="306" spans="1:7" ht="9.6" customHeight="1" x14ac:dyDescent="0.35">
      <c r="A306" s="40" t="s">
        <v>337</v>
      </c>
      <c r="B306" s="45"/>
      <c r="C306" s="45"/>
      <c r="D306" s="45"/>
      <c r="E306" s="45"/>
      <c r="F306" s="46"/>
      <c r="G306" s="45"/>
    </row>
    <row r="307" spans="1:7" ht="9.6" customHeight="1" x14ac:dyDescent="0.35">
      <c r="A307" s="40" t="s">
        <v>338</v>
      </c>
      <c r="B307" s="45"/>
      <c r="C307" s="45"/>
      <c r="D307" s="45"/>
      <c r="E307" s="45"/>
      <c r="F307" s="46"/>
      <c r="G307" s="45"/>
    </row>
    <row r="308" spans="1:7" ht="9" customHeight="1" x14ac:dyDescent="0.35">
      <c r="A308" s="47" t="s">
        <v>203</v>
      </c>
      <c r="B308" s="45"/>
      <c r="C308" s="45"/>
      <c r="D308" s="45"/>
      <c r="E308" s="45"/>
      <c r="F308" s="46"/>
      <c r="G308" s="45"/>
    </row>
    <row r="309" spans="1:7" ht="9" customHeight="1" x14ac:dyDescent="0.35">
      <c r="A309" s="48" t="s">
        <v>324</v>
      </c>
      <c r="B309" s="45"/>
      <c r="C309" s="45"/>
      <c r="D309" s="45"/>
      <c r="E309" s="45"/>
      <c r="F309" s="46"/>
      <c r="G309" s="45"/>
    </row>
    <row r="310" spans="1:7" ht="9" customHeight="1" x14ac:dyDescent="0.35">
      <c r="A310" s="48" t="s">
        <v>237</v>
      </c>
      <c r="B310" s="45"/>
      <c r="C310" s="45"/>
      <c r="D310" s="45"/>
      <c r="E310" s="45"/>
      <c r="F310" s="46"/>
      <c r="G310" s="45"/>
    </row>
    <row r="311" spans="1:7" x14ac:dyDescent="0.35">
      <c r="A311" s="49"/>
      <c r="B311" s="45"/>
      <c r="C311" s="45"/>
      <c r="D311" s="45"/>
      <c r="E311" s="45"/>
      <c r="F311" s="46"/>
      <c r="G311" s="45"/>
    </row>
    <row r="312" spans="1:7" x14ac:dyDescent="0.35">
      <c r="A312" s="49"/>
      <c r="B312" s="45"/>
      <c r="C312" s="45"/>
      <c r="D312" s="45"/>
      <c r="E312" s="45"/>
      <c r="F312" s="46"/>
      <c r="G312" s="45"/>
    </row>
  </sheetData>
  <mergeCells count="6">
    <mergeCell ref="A305:G305"/>
    <mergeCell ref="F258:G258"/>
    <mergeCell ref="F4:G4"/>
    <mergeCell ref="F67:G67"/>
    <mergeCell ref="F132:G132"/>
    <mergeCell ref="F195:G195"/>
  </mergeCells>
  <phoneticPr fontId="0" type="noConversion"/>
  <pageMargins left="1.9685039370078741" right="1.9685039370078741" top="1.9685039370078741" bottom="1.9685039370078741" header="0" footer="0"/>
  <pageSetup paperSize="9" scale="98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8"/>
  <sheetViews>
    <sheetView tabSelected="1" workbookViewId="0">
      <selection activeCell="E3" sqref="E3"/>
    </sheetView>
  </sheetViews>
  <sheetFormatPr baseColWidth="10" defaultRowHeight="10.35" x14ac:dyDescent="0.35"/>
  <cols>
    <col min="1" max="1" width="7.15234375" bestFit="1" customWidth="1"/>
    <col min="2" max="2" width="18.07421875" bestFit="1" customWidth="1"/>
    <col min="3" max="3" width="16.23046875" bestFit="1" customWidth="1"/>
    <col min="4" max="4" width="9.61328125" bestFit="1" customWidth="1"/>
    <col min="5" max="256" width="9.23046875" customWidth="1"/>
  </cols>
  <sheetData>
    <row r="1" spans="1:5" ht="11.7" x14ac:dyDescent="0.35">
      <c r="A1" s="80" t="s">
        <v>339</v>
      </c>
      <c r="B1" s="80" t="s">
        <v>55</v>
      </c>
      <c r="C1" s="80" t="s">
        <v>340</v>
      </c>
      <c r="D1" s="73" t="s">
        <v>229</v>
      </c>
      <c r="E1" s="83" t="s">
        <v>0</v>
      </c>
    </row>
    <row r="2" spans="1:5" ht="12" thickBot="1" x14ac:dyDescent="0.4">
      <c r="A2" s="81"/>
      <c r="B2" s="81"/>
      <c r="C2" s="81"/>
      <c r="D2" s="74" t="s">
        <v>341</v>
      </c>
      <c r="E2" s="81"/>
    </row>
    <row r="3" spans="1:5" ht="11.7" x14ac:dyDescent="0.35">
      <c r="A3" s="75">
        <v>1</v>
      </c>
      <c r="B3" s="75" t="s">
        <v>216</v>
      </c>
      <c r="C3" s="75" t="s">
        <v>7</v>
      </c>
      <c r="D3" s="75" t="s">
        <v>342</v>
      </c>
      <c r="E3">
        <f>VLOOKUP(C3,Datos!$F$13:$G$292,2,FALSE)</f>
        <v>2339</v>
      </c>
    </row>
    <row r="4" spans="1:5" ht="11.7" x14ac:dyDescent="0.35">
      <c r="A4" s="75">
        <v>2</v>
      </c>
      <c r="B4" s="75" t="s">
        <v>343</v>
      </c>
      <c r="C4" s="75" t="s">
        <v>8</v>
      </c>
      <c r="D4" s="75" t="s">
        <v>344</v>
      </c>
      <c r="E4">
        <f>VLOOKUP(C4,Datos!$F$13:$G$292,2,FALSE)</f>
        <v>3038</v>
      </c>
    </row>
    <row r="5" spans="1:5" ht="11.7" x14ac:dyDescent="0.35">
      <c r="A5" s="75">
        <v>3</v>
      </c>
      <c r="B5" s="75" t="s">
        <v>22</v>
      </c>
      <c r="C5" s="75" t="s">
        <v>9</v>
      </c>
      <c r="D5" s="75" t="s">
        <v>345</v>
      </c>
      <c r="E5">
        <f>VLOOKUP(C5,Datos!$F$13:$G$292,2,FALSE)</f>
        <v>2392</v>
      </c>
    </row>
    <row r="6" spans="1:5" ht="11.7" x14ac:dyDescent="0.35">
      <c r="A6" s="75">
        <v>4</v>
      </c>
      <c r="B6" s="75" t="s">
        <v>210</v>
      </c>
      <c r="C6" s="75" t="s">
        <v>210</v>
      </c>
      <c r="D6" s="75" t="s">
        <v>346</v>
      </c>
      <c r="E6">
        <f>VLOOKUP(C6,Datos!$F$13:$G$292,2,FALSE)</f>
        <v>2337</v>
      </c>
    </row>
    <row r="7" spans="1:5" ht="11.7" x14ac:dyDescent="0.35">
      <c r="A7" s="75">
        <v>5</v>
      </c>
      <c r="B7" s="75" t="s">
        <v>61</v>
      </c>
      <c r="C7" s="75" t="s">
        <v>61</v>
      </c>
      <c r="D7" s="75" t="s">
        <v>347</v>
      </c>
      <c r="E7">
        <f>VLOOKUP(C7,Datos!$F$13:$G$292,2,FALSE)</f>
        <v>2760</v>
      </c>
    </row>
    <row r="8" spans="1:5" ht="11.7" x14ac:dyDescent="0.35">
      <c r="A8" s="75">
        <v>6</v>
      </c>
      <c r="B8" s="75" t="s">
        <v>10</v>
      </c>
      <c r="C8" s="75" t="s">
        <v>10</v>
      </c>
      <c r="D8" s="75" t="s">
        <v>348</v>
      </c>
      <c r="E8">
        <f>VLOOKUP(C8,Datos!$F$13:$G$292,2,FALSE)</f>
        <v>2719</v>
      </c>
    </row>
    <row r="9" spans="1:5" ht="11.7" x14ac:dyDescent="0.35">
      <c r="A9" s="75">
        <v>7</v>
      </c>
      <c r="B9" s="75" t="s">
        <v>224</v>
      </c>
      <c r="C9" s="75" t="s">
        <v>224</v>
      </c>
      <c r="D9" s="75">
        <v>147</v>
      </c>
      <c r="E9">
        <f>VLOOKUP(C9,Datos!$F$13:$G$292,2,FALSE)</f>
        <v>3</v>
      </c>
    </row>
    <row r="10" spans="1:5" ht="11.7" x14ac:dyDescent="0.35">
      <c r="A10" s="75">
        <v>8</v>
      </c>
      <c r="B10" s="75" t="s">
        <v>11</v>
      </c>
      <c r="C10" s="75" t="s">
        <v>11</v>
      </c>
      <c r="D10" s="75" t="s">
        <v>349</v>
      </c>
      <c r="E10">
        <f>VLOOKUP(C10,Datos!$F$13:$G$292,2,FALSE)</f>
        <v>3414</v>
      </c>
    </row>
    <row r="11" spans="1:5" ht="11.7" x14ac:dyDescent="0.35">
      <c r="A11" s="75">
        <v>9</v>
      </c>
      <c r="B11" s="75" t="s">
        <v>12</v>
      </c>
      <c r="C11" s="75" t="s">
        <v>12</v>
      </c>
      <c r="D11" s="75" t="s">
        <v>350</v>
      </c>
      <c r="E11">
        <f>VLOOKUP(C11,Datos!$F$13:$G$292,2,FALSE)</f>
        <v>3679</v>
      </c>
    </row>
    <row r="12" spans="1:5" ht="11.7" x14ac:dyDescent="0.35">
      <c r="A12" s="75">
        <v>10</v>
      </c>
      <c r="B12" s="75" t="s">
        <v>23</v>
      </c>
      <c r="C12" s="75" t="s">
        <v>23</v>
      </c>
      <c r="D12" s="75" t="s">
        <v>351</v>
      </c>
      <c r="E12">
        <f>VLOOKUP(C12,Datos!$F$13:$G$292,2,FALSE)</f>
        <v>1898</v>
      </c>
    </row>
    <row r="13" spans="1:5" ht="11.7" x14ac:dyDescent="0.35">
      <c r="A13" s="75">
        <v>11</v>
      </c>
      <c r="B13" s="75" t="s">
        <v>211</v>
      </c>
      <c r="C13" s="75" t="s">
        <v>211</v>
      </c>
      <c r="D13" s="75" t="s">
        <v>352</v>
      </c>
      <c r="E13">
        <f>VLOOKUP(C13,Datos!$F$13:$G$292,2,FALSE)</f>
        <v>409</v>
      </c>
    </row>
    <row r="14" spans="1:5" ht="11.7" x14ac:dyDescent="0.35">
      <c r="A14" s="75">
        <v>12</v>
      </c>
      <c r="B14" s="75" t="s">
        <v>191</v>
      </c>
      <c r="C14" s="75" t="s">
        <v>13</v>
      </c>
      <c r="D14" s="75" t="s">
        <v>353</v>
      </c>
      <c r="E14">
        <f>VLOOKUP(C14,Datos!$F$13:$G$292,2,FALSE)</f>
        <v>3245</v>
      </c>
    </row>
    <row r="15" spans="1:5" ht="11.7" x14ac:dyDescent="0.35">
      <c r="A15" s="75">
        <v>13</v>
      </c>
      <c r="B15" s="75" t="s">
        <v>354</v>
      </c>
      <c r="C15" s="75" t="s">
        <v>26</v>
      </c>
      <c r="D15" s="75" t="s">
        <v>355</v>
      </c>
      <c r="E15">
        <f>VLOOKUP(C15,Datos!$F$13:$G$292,2,FALSE)</f>
        <v>34</v>
      </c>
    </row>
    <row r="16" spans="1:5" ht="11.7" x14ac:dyDescent="0.35">
      <c r="A16" s="75">
        <v>14</v>
      </c>
      <c r="B16" s="75" t="s">
        <v>212</v>
      </c>
      <c r="C16" s="75" t="s">
        <v>28</v>
      </c>
      <c r="D16" s="75" t="s">
        <v>356</v>
      </c>
      <c r="E16">
        <f>VLOOKUP(C16,Datos!$F$13:$G$292,2,FALSE)</f>
        <v>34</v>
      </c>
    </row>
    <row r="17" spans="1:5" ht="11.7" x14ac:dyDescent="0.35">
      <c r="A17" s="82">
        <v>15</v>
      </c>
      <c r="B17" s="75" t="s">
        <v>357</v>
      </c>
      <c r="C17" s="75" t="s">
        <v>213</v>
      </c>
      <c r="D17" s="75" t="s">
        <v>358</v>
      </c>
      <c r="E17">
        <f>VLOOKUP(C17,Datos!$F$13:$G$292,2,FALSE)</f>
        <v>161</v>
      </c>
    </row>
    <row r="18" spans="1:5" ht="11.7" x14ac:dyDescent="0.35">
      <c r="A18" s="82"/>
      <c r="B18" s="75" t="s">
        <v>359</v>
      </c>
      <c r="C18" s="75" t="s">
        <v>31</v>
      </c>
      <c r="D18" s="75" t="s">
        <v>360</v>
      </c>
      <c r="E18">
        <f>VLOOKUP(C18,Datos!$F$13:$G$292,2,FALSE)</f>
        <v>37</v>
      </c>
    </row>
    <row r="19" spans="1:5" ht="11.7" x14ac:dyDescent="0.35">
      <c r="A19" s="75">
        <v>16</v>
      </c>
      <c r="B19" s="75" t="s">
        <v>298</v>
      </c>
      <c r="C19" s="75" t="s">
        <v>38</v>
      </c>
      <c r="D19" s="75" t="s">
        <v>361</v>
      </c>
      <c r="E19">
        <f>VLOOKUP(C19,Datos!$F$13:$G$292,2,FALSE)</f>
        <v>91</v>
      </c>
    </row>
    <row r="20" spans="1:5" ht="11.7" x14ac:dyDescent="0.35">
      <c r="A20" s="75">
        <v>17</v>
      </c>
      <c r="B20" s="75" t="s">
        <v>59</v>
      </c>
      <c r="C20" s="75" t="s">
        <v>25</v>
      </c>
      <c r="D20" s="75" t="s">
        <v>362</v>
      </c>
      <c r="E20">
        <f>VLOOKUP(C20,Datos!$F$13:$G$292,2,FALSE)</f>
        <v>205</v>
      </c>
    </row>
    <row r="21" spans="1:5" ht="11.7" x14ac:dyDescent="0.35">
      <c r="A21" s="75">
        <v>18</v>
      </c>
      <c r="B21" s="75" t="s">
        <v>214</v>
      </c>
      <c r="C21" s="75" t="s">
        <v>214</v>
      </c>
      <c r="D21" s="75" t="s">
        <v>363</v>
      </c>
      <c r="E21">
        <f>VLOOKUP(C21,Datos!$F$13:$G$292,2,FALSE)</f>
        <v>1417</v>
      </c>
    </row>
    <row r="22" spans="1:5" ht="11.7" x14ac:dyDescent="0.35">
      <c r="A22" s="75">
        <v>19</v>
      </c>
      <c r="B22" s="75" t="s">
        <v>217</v>
      </c>
      <c r="C22" s="75" t="s">
        <v>24</v>
      </c>
      <c r="D22" s="75" t="s">
        <v>364</v>
      </c>
      <c r="E22">
        <f>VLOOKUP(C22,Datos!$F$13:$G$292,2,FALSE)</f>
        <v>4342</v>
      </c>
    </row>
    <row r="23" spans="1:5" ht="11.7" x14ac:dyDescent="0.35">
      <c r="A23" s="75">
        <v>20</v>
      </c>
      <c r="B23" s="75" t="s">
        <v>57</v>
      </c>
      <c r="C23" s="75" t="s">
        <v>57</v>
      </c>
      <c r="D23" s="75" t="s">
        <v>365</v>
      </c>
      <c r="E23">
        <f>VLOOKUP(C23,Datos!$F$13:$G$292,2,FALSE)</f>
        <v>36</v>
      </c>
    </row>
    <row r="24" spans="1:5" ht="11.7" x14ac:dyDescent="0.35">
      <c r="A24" s="75">
        <v>21</v>
      </c>
      <c r="B24" s="75" t="s">
        <v>219</v>
      </c>
      <c r="C24" s="75" t="s">
        <v>219</v>
      </c>
      <c r="D24" s="75" t="s">
        <v>366</v>
      </c>
      <c r="E24">
        <f>VLOOKUP(C24,Datos!$F$13:$G$292,2,FALSE)</f>
        <v>3848</v>
      </c>
    </row>
    <row r="25" spans="1:5" ht="11.7" x14ac:dyDescent="0.35">
      <c r="A25" s="75">
        <v>22</v>
      </c>
      <c r="B25" s="75" t="s">
        <v>316</v>
      </c>
      <c r="C25" s="75" t="s">
        <v>14</v>
      </c>
      <c r="D25" s="75" t="s">
        <v>367</v>
      </c>
      <c r="E25">
        <f>VLOOKUP(C25,Datos!$F$13:$G$292,2,FALSE)</f>
        <v>878</v>
      </c>
    </row>
    <row r="26" spans="1:5" ht="11.7" x14ac:dyDescent="0.35">
      <c r="A26" s="75">
        <v>23</v>
      </c>
      <c r="B26" s="75" t="s">
        <v>56</v>
      </c>
      <c r="C26" s="75" t="s">
        <v>56</v>
      </c>
      <c r="D26" s="75" t="s">
        <v>368</v>
      </c>
      <c r="E26">
        <f>VLOOKUP(C26,Datos!$F$13:$G$292,2,FALSE)</f>
        <v>585</v>
      </c>
    </row>
    <row r="27" spans="1:5" ht="11.7" x14ac:dyDescent="0.35">
      <c r="A27" s="75">
        <v>24</v>
      </c>
      <c r="B27" s="75" t="s">
        <v>215</v>
      </c>
      <c r="C27" s="75" t="s">
        <v>215</v>
      </c>
      <c r="D27" s="75" t="s">
        <v>369</v>
      </c>
      <c r="E27">
        <f>VLOOKUP(C27,Datos!$F$13:$G$292,2,FALSE)</f>
        <v>23</v>
      </c>
    </row>
    <row r="28" spans="1:5" ht="11.7" x14ac:dyDescent="0.35">
      <c r="A28" s="75">
        <v>25</v>
      </c>
      <c r="B28" s="75" t="s">
        <v>218</v>
      </c>
      <c r="C28" s="75" t="s">
        <v>15</v>
      </c>
      <c r="D28" s="75" t="s">
        <v>370</v>
      </c>
      <c r="E28">
        <f>VLOOKUP(C28,Datos!$F$13:$G$292,2,FALSE)</f>
        <v>157</v>
      </c>
    </row>
  </sheetData>
  <mergeCells count="5">
    <mergeCell ref="A1:A2"/>
    <mergeCell ref="B1:B2"/>
    <mergeCell ref="C1:C2"/>
    <mergeCell ref="A17:A18"/>
    <mergeCell ref="E1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Datos</vt:lpstr>
      <vt:lpstr>Altitudes</vt:lpstr>
      <vt:lpstr>Datos!Área_de_impresión</vt:lpstr>
      <vt:lpstr>Altitudes!ExternalData_1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PERU: ESTADISTICAS DEL MEDIO AMBIENTE</dc:title>
  <dc:creator>Soporte Tecnico</dc:creator>
  <cp:lastModifiedBy>Abel</cp:lastModifiedBy>
  <cp:lastPrinted>2013-06-27T15:03:05Z</cp:lastPrinted>
  <dcterms:created xsi:type="dcterms:W3CDTF">1997-05-03T19:07:14Z</dcterms:created>
  <dcterms:modified xsi:type="dcterms:W3CDTF">2023-01-09T19:27:35Z</dcterms:modified>
</cp:coreProperties>
</file>